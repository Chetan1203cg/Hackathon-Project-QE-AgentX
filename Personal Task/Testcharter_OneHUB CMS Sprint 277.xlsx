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updateLinks="never" codeName="DieseArbeitsmappe" defaultThemeVersion="124226"/>
  <mc:AlternateContent xmlns:mc="http://schemas.openxmlformats.org/markup-compatibility/2006">
    <mc:Choice Requires="x15">
      <x15ac:absPath xmlns:x15ac="http://schemas.microsoft.com/office/spreadsheetml/2010/11/ac" url="C:\Chetan Raut\Projects\Volkswagen NGW\CMS\"/>
    </mc:Choice>
  </mc:AlternateContent>
  <xr:revisionPtr revIDLastSave="0" documentId="8_{8BAC9111-4D8C-4297-A435-C5506F40A3A1}" xr6:coauthVersionLast="47" xr6:coauthVersionMax="47" xr10:uidLastSave="{00000000-0000-0000-0000-000000000000}"/>
  <bookViews>
    <workbookView xWindow="-120" yWindow="-120" windowWidth="20730" windowHeight="11040" tabRatio="925" firstSheet="4" activeTab="12" xr2:uid="{00000000-000D-0000-FFFF-FFFF00000000}"/>
  </bookViews>
  <sheets>
    <sheet name="Änderungshistorie" sheetId="28" r:id="rId1"/>
    <sheet name="Teststrategie" sheetId="13" r:id="rId2"/>
    <sheet name="MetaData" sheetId="42" r:id="rId3"/>
    <sheet name="Homepage" sheetId="37" r:id="rId4"/>
    <sheet name="Editorial Overview Page" sheetId="41" r:id="rId5"/>
    <sheet name="Showroom Page" sheetId="39" r:id="rId6"/>
    <sheet name="Editorial Page" sheetId="15" r:id="rId7"/>
    <sheet name="Model Overview Page" sheetId="20" r:id="rId8"/>
    <sheet name="Feature App Page" sheetId="35" r:id="rId9"/>
    <sheet name="DAM" sheetId="22" r:id="rId10"/>
    <sheet name="Error Page" sheetId="21" r:id="rId11"/>
    <sheet name="XFs" sheetId="17" r:id="rId12"/>
    <sheet name="TO SIT" sheetId="31" r:id="rId13"/>
    <sheet name="Archive" sheetId="44" r:id="rId14"/>
    <sheet name="Template" sheetId="38" r:id="rId15"/>
    <sheet name="Not relevant for testing" sheetId="34" state="hidden" r:id="rId16"/>
  </sheets>
  <definedNames>
    <definedName name="_xlnm._FilterDatabase" localSheetId="6" hidden="1">'Editorial Page'!$A$1:$R$15</definedName>
    <definedName name="_xlnm._FilterDatabase" localSheetId="12" hidden="1">'TO SIT'!$D$1:$D$70</definedName>
    <definedName name="_xlnm._FilterDatabase" localSheetId="11" hidden="1">XFs!$F$1:$F$97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1" l="1"/>
  <c r="A2" i="31"/>
  <c r="A2" i="17"/>
  <c r="A2" i="21"/>
  <c r="A2" i="22"/>
  <c r="A2" i="35"/>
  <c r="A2" i="20"/>
  <c r="A2" i="15"/>
  <c r="A2" i="41"/>
  <c r="A2" i="39"/>
  <c r="A1" i="17"/>
  <c r="A1" i="21"/>
  <c r="A1" i="22"/>
  <c r="A1" i="35"/>
  <c r="A1" i="20"/>
  <c r="A1" i="15"/>
  <c r="A1" i="41"/>
  <c r="A1" i="39"/>
  <c r="C10" i="42"/>
  <c r="B9" i="42"/>
  <c r="C5" i="42"/>
  <c r="C3" i="42"/>
  <c r="C9" i="42"/>
  <c r="B3" i="42"/>
  <c r="B10" i="42"/>
  <c r="C8" i="42"/>
  <c r="C11" i="42"/>
  <c r="B4" i="42"/>
  <c r="B2" i="42"/>
  <c r="C6" i="42"/>
  <c r="B11" i="42"/>
  <c r="C4" i="42"/>
  <c r="B6" i="42"/>
  <c r="C7" i="42"/>
  <c r="C2" i="42"/>
  <c r="B7" i="42"/>
  <c r="B5" i="42"/>
  <c r="B8" i="42"/>
  <c r="D11" i="42" l="1"/>
  <c r="D10" i="42"/>
  <c r="D9" i="42"/>
  <c r="D8" i="42"/>
  <c r="D7" i="42"/>
  <c r="D6" i="42"/>
  <c r="D5" i="42"/>
  <c r="D4" i="42"/>
  <c r="D3" i="42"/>
  <c r="B12" i="42"/>
  <c r="D2" i="42"/>
  <c r="C12" i="42"/>
  <c r="D12" i="42" l="1"/>
</calcChain>
</file>

<file path=xl/sharedStrings.xml><?xml version="1.0" encoding="utf-8"?>
<sst xmlns="http://schemas.openxmlformats.org/spreadsheetml/2006/main" count="3918" uniqueCount="992">
  <si>
    <t>Version</t>
  </si>
  <si>
    <t>Datum</t>
  </si>
  <si>
    <t>Name</t>
  </si>
  <si>
    <t>Was</t>
  </si>
  <si>
    <t>_2020-07-06</t>
  </si>
  <si>
    <t>D.Schrader</t>
  </si>
  <si>
    <t>Actualisation according the Conzept for Dokumentation Testautmation</t>
  </si>
  <si>
    <t>_2020-07-07</t>
  </si>
  <si>
    <t>Swarna Srivastava</t>
  </si>
  <si>
    <t>Updated TA Status</t>
  </si>
  <si>
    <t>_2020-07-08</t>
  </si>
  <si>
    <t>Updated TA Status and cell colours for Section/Section Items</t>
  </si>
  <si>
    <t>_2020-07-10</t>
  </si>
  <si>
    <t>Replaced Missing Items with Open in TA Status column</t>
  </si>
  <si>
    <t>_2020-07-16</t>
  </si>
  <si>
    <t>16/7/2020</t>
  </si>
  <si>
    <t>Updated TA status for previously open items that are now completed</t>
  </si>
  <si>
    <t>_2020-08-10</t>
  </si>
  <si>
    <t>Christine Ganz</t>
  </si>
  <si>
    <t>Editorial Page ( Checkpoints in red, One-HUB-EP-13 to One-HUB-EP-24 changed to "modified"; added S109 Answers Stage deleting section), Deleting S120, S124 and S106 ,</t>
  </si>
  <si>
    <t>_2020-08-20</t>
  </si>
  <si>
    <t>20/8/2020</t>
  </si>
  <si>
    <t>_2020-08-31</t>
  </si>
  <si>
    <t>31/8/2020</t>
  </si>
  <si>
    <t>_2020-09-18</t>
  </si>
  <si>
    <t>XF Template (Checkpoints added, Column TA and TA Status added) please add TA Testcase marked as TA = yes and TA Status open)</t>
  </si>
  <si>
    <t>also new is checkpoint: ONE-HUB-XF-17</t>
  </si>
  <si>
    <t>_2020-09-25</t>
  </si>
  <si>
    <t>25/9/2020</t>
  </si>
  <si>
    <t>All the tests are impletented in each page. Previously sections present in multiple pages were implemented in 1 page only</t>
  </si>
  <si>
    <t>_2020-10-08</t>
  </si>
  <si>
    <t>Hompage: One-HUB-HP-09; One-HUB-HP-18;  One-HUB-HP-27 -&gt; a new Section S129</t>
  </si>
  <si>
    <t>Homepage: The Checkpoint from HP changed because of the new Section</t>
  </si>
  <si>
    <t>Showroompage: One-HUB-SR-06; One-HUB-SR-18; One-HUB-SR-30 -&gt; Section S102  modified</t>
  </si>
  <si>
    <t>Showroompage: One-HUB-SR-12; One-HUB-SR-24; One-HUB-SR-36 -&gt; new Section S130</t>
  </si>
  <si>
    <t>Showroompage: The Checkpoint from SP changed because of the new Section</t>
  </si>
  <si>
    <t>Editorial Overview Page: The Checkpoint has been updated (there was a wrong sequence)</t>
  </si>
  <si>
    <t>Editorail Page: One-HUB-EP-11; One-HUB-EP-23; One-HUB-EP-35; Countdown Section has been modified because of new elemnts: Icon Bullet Point</t>
  </si>
  <si>
    <t>New Templates: Glossay Page and Maintain Glossary Page: 7 new TC for TA</t>
  </si>
  <si>
    <t>XF Template: ONE-HUB-XF-11, new Disclaimer Type</t>
  </si>
  <si>
    <t>XF Template: The Checkpoint from XF' changed because of the new Disclaime type</t>
  </si>
  <si>
    <t>_2020-10-16</t>
  </si>
  <si>
    <t>16/10/2020</t>
  </si>
  <si>
    <t>Amruta Mhatre</t>
  </si>
  <si>
    <t>Updated TA Status: Editorail Page: One-HUB-EP-11; One-HUB-EP-23; One-HUB-EP-35</t>
  </si>
  <si>
    <t>_2020-10-22</t>
  </si>
  <si>
    <t>22/10/2020</t>
  </si>
  <si>
    <t>Updated TA Status: Showroompage: One-HUB-SR-06; One-HUB-SR-18; One-HUB-SR-30 -&gt; Section S102  modified</t>
  </si>
  <si>
    <t>Updated TA Status: Showroompage: One-HUB-SR-12; One-HUB-SR-36 -&gt; new Section S130</t>
  </si>
  <si>
    <t>Updated TA Status: XFs : ONE-HUB-XF-01, ONE-HUB-XF-03, ONE-HUB-XF-05, ONE-HUB-XF-07, ONE-HUB-XF-09, ONE-HUB-XF-11, ONE-HUB-XF-20</t>
  </si>
  <si>
    <t>_2020-10-23</t>
  </si>
  <si>
    <t>23/10/2020</t>
  </si>
  <si>
    <t>Updated TA Status: Hompage: One-HUB-HP-09; One-HUB-HP-18;  One-HUB-HP-27 -&gt; a new Section S129</t>
  </si>
  <si>
    <t>Dagmar Schrader</t>
  </si>
  <si>
    <t>Update color blue to black; Insert column "TA"; Split Column "TA Status" into "TA" and"TA Status"; Update Browser Matrix</t>
  </si>
  <si>
    <t>Seperate Publisher proves in own checkpoint to make transparent which checkpoint are automated for the diffenet Dekstop and mobil divices</t>
  </si>
  <si>
    <t>Aditya Pandey</t>
  </si>
  <si>
    <t>Updated Home Page, Showroom page, Editorial Overview Page and Editorial Page with completed new verification and delete testcases for different viewports</t>
  </si>
  <si>
    <t xml:space="preserve">Update: Template To-Sit --&gt; general functions: Testgoal and TA + TA Status  </t>
  </si>
  <si>
    <t>_2021-04-01</t>
  </si>
  <si>
    <t>Jens Vogler</t>
  </si>
  <si>
    <t>Prototype documentation of clickable items (Home Page 27 TF)</t>
  </si>
  <si>
    <t>_2021-04-20</t>
  </si>
  <si>
    <t>William Pacori</t>
  </si>
  <si>
    <t>Add Video asset + cover image in S104</t>
  </si>
  <si>
    <t>_2021-04-21</t>
  </si>
  <si>
    <t>Completed "is saved" open items</t>
  </si>
  <si>
    <t>_2021-04-27</t>
  </si>
  <si>
    <t>Template Homepage: New checkpoints: One-HUB-HP-28, One-HUB-HP-29, One-HUB-HP-29-01, One-HUB-HP-30, One-HUB-HP-30-01, Adjustment of some Sections: Clickable Elements should be add to TA Tests(marked orange)</t>
  </si>
  <si>
    <t>Template Showroom: Adjustment of some Sections: Clickable Elements should be add to TA Tests(marked orange)</t>
  </si>
  <si>
    <t>Template Editorial Overview Page: Adjustment of some Sections: Clickable Elements should be add to TA Tests(marked orange)</t>
  </si>
  <si>
    <t>Template Editorial Page: Adjustment of some Sections: Clickable Elements should be add to TA Tests(marked orange)</t>
  </si>
  <si>
    <t>Template Error Page (all checkpoints) adding Tests to TA</t>
  </si>
  <si>
    <t>Template XF's: ONE-HUB-XF-14 to ONE-HUB-XF-27</t>
  </si>
  <si>
    <t>Update TA status : To Sit : One-Hub-GF-01, One-Hub-Gf-03, One-Hub-Gf-05, One-Hub-Gf-06, One-Hub-Gf-07, One-Hub-Gf-08, One-Hub-Gf-09, One-Hub-Gf-10, One-Hub-Gf-19</t>
  </si>
  <si>
    <t>Teststrategie</t>
  </si>
  <si>
    <t>Aufteilung</t>
  </si>
  <si>
    <t>1. Auf dem Publisher über Domänen-URL einen exemplarischen Markt testen</t>
  </si>
  <si>
    <t>2.E2E:  Im Autor exemplarisch Testconten verändern/aufbauen, publishen, auf Publisher testen</t>
  </si>
  <si>
    <t xml:space="preserve">Glossar: </t>
  </si>
  <si>
    <t>Shown are only the moste important Sections per page. These are suggested by PO Support by using the Actual live content as reference.</t>
  </si>
  <si>
    <t>Site Root</t>
  </si>
  <si>
    <t>Market Page</t>
  </si>
  <si>
    <t>Home Page*</t>
  </si>
  <si>
    <t>Model Overview Page *</t>
  </si>
  <si>
    <t>Showroompage*</t>
  </si>
  <si>
    <t>Editorial Overview Page *</t>
  </si>
  <si>
    <t>Editorial Overview Page*</t>
  </si>
  <si>
    <t>Editorial Page*</t>
  </si>
  <si>
    <t>Integrator Page</t>
  </si>
  <si>
    <t>Structure Page</t>
  </si>
  <si>
    <t>Modelstructure Root</t>
  </si>
  <si>
    <t>Disclaimer Overview Page</t>
  </si>
  <si>
    <t>Unsupported Browser Notification</t>
  </si>
  <si>
    <t>Error Page 4xx*</t>
  </si>
  <si>
    <t>Non React Simple Page</t>
  </si>
  <si>
    <t>Homepage</t>
  </si>
  <si>
    <t>Editorial Page</t>
  </si>
  <si>
    <t>Editorial Overview Page</t>
  </si>
  <si>
    <t>Model Overview Page</t>
  </si>
  <si>
    <t>Showroom Page</t>
  </si>
  <si>
    <t>Error Page</t>
  </si>
  <si>
    <t>Glossary Page</t>
  </si>
  <si>
    <t>Maintain Glossary Page</t>
  </si>
  <si>
    <t>Feature App Page</t>
  </si>
  <si>
    <t>Checkpoint</t>
  </si>
  <si>
    <t>Template</t>
  </si>
  <si>
    <t>Section</t>
  </si>
  <si>
    <t>TA</t>
  </si>
  <si>
    <t>TA Status</t>
  </si>
  <si>
    <t>New Jira Ticket</t>
  </si>
  <si>
    <t>Existing Jira Ticket</t>
  </si>
  <si>
    <t>One-HUB-HP-01</t>
  </si>
  <si>
    <t>Home Page</t>
  </si>
  <si>
    <t>S104 Fullscreen Stage Section</t>
  </si>
  <si>
    <t xml:space="preserve">Yes </t>
  </si>
  <si>
    <t>Completed</t>
  </si>
  <si>
    <t xml:space="preserve">Item: Heading </t>
  </si>
  <si>
    <t>Item: CTA Button with Link or Layer</t>
  </si>
  <si>
    <t>One-HUB-HP-02</t>
  </si>
  <si>
    <t>S113  First Level Teaser</t>
  </si>
  <si>
    <t>S113 First Level Teaser</t>
  </si>
  <si>
    <t>Editorial Teaser Element 1</t>
  </si>
  <si>
    <t>One-HUB-HP-03</t>
  </si>
  <si>
    <t>S116 Section Group</t>
  </si>
  <si>
    <t>S115 Focus Teaser Section</t>
  </si>
  <si>
    <t>S110 Highlight Teaser Section</t>
  </si>
  <si>
    <t>I108 Link List Item</t>
  </si>
  <si>
    <t>One-HUB-HP-04</t>
  </si>
  <si>
    <t>Item: Additional Link</t>
  </si>
  <si>
    <t>One-HUB-HP-05</t>
  </si>
  <si>
    <t xml:space="preserve">Completed
</t>
  </si>
  <si>
    <t>One-HUB-HP-06</t>
  </si>
  <si>
    <t>S102 Single Column Section</t>
  </si>
  <si>
    <t>completed</t>
  </si>
  <si>
    <t>One-HUB-HP-07</t>
  </si>
  <si>
    <t>S108 Editorial Teaser Section</t>
  </si>
  <si>
    <t>One-HUB-HP-08</t>
  </si>
  <si>
    <t>S119 Newsletter Signup Section</t>
  </si>
  <si>
    <t>CTA Button</t>
  </si>
  <si>
    <t>One-HUB-HP-09</t>
  </si>
  <si>
    <t>S129 Power Teaser Section</t>
  </si>
  <si>
    <t>Icon Bullet Point Element 1: with CAR_FRONT Icon</t>
  </si>
  <si>
    <t>One-HUB-HP-28</t>
  </si>
  <si>
    <t>S132 Expand Collapse Section</t>
  </si>
  <si>
    <t>Item: I132 Expand Collapse Item 1</t>
  </si>
  <si>
    <t>Item: Link</t>
  </si>
  <si>
    <t>One-HUB-HP-10</t>
  </si>
  <si>
    <t>One-HUB-HP-10-01</t>
  </si>
  <si>
    <t>One-HUB-HP-11</t>
  </si>
  <si>
    <t xml:space="preserve"> Completed
</t>
  </si>
  <si>
    <t>One-HUB-HP-11-01</t>
  </si>
  <si>
    <t>One-HUB-HP-12</t>
  </si>
  <si>
    <t>One-HUB-HP-12-01</t>
  </si>
  <si>
    <t>One-HUB-HP-13</t>
  </si>
  <si>
    <t>One-HUB-HP-13-01</t>
  </si>
  <si>
    <t>One-HUB-HP-14</t>
  </si>
  <si>
    <t>One-HUB-HP-14-01</t>
  </si>
  <si>
    <t>One-HUB-HP-15</t>
  </si>
  <si>
    <t>One-HUB-HP-15-01</t>
  </si>
  <si>
    <t>One-HUB-HP-16</t>
  </si>
  <si>
    <t>One-HUB-HP-16-01</t>
  </si>
  <si>
    <t>One-HUB-HP-17</t>
  </si>
  <si>
    <t>One-HUB-HP-17-01</t>
  </si>
  <si>
    <t>One-HUB-HP-18</t>
  </si>
  <si>
    <t>One-HUB-HP-18-01</t>
  </si>
  <si>
    <t>One-HUB-HP-29</t>
  </si>
  <si>
    <t>One-HUB-HP-29-01</t>
  </si>
  <si>
    <t>One-HUB-HP-19</t>
  </si>
  <si>
    <t>Yes</t>
  </si>
  <si>
    <t>One-HUB-HP-19-01</t>
  </si>
  <si>
    <t>One-HUB-HP-20</t>
  </si>
  <si>
    <t>One-HUB-HP-20-01</t>
  </si>
  <si>
    <t>One-HUB-HP-21</t>
  </si>
  <si>
    <t>One-HUB-HP-21-01</t>
  </si>
  <si>
    <t>One-HUB-HP-22</t>
  </si>
  <si>
    <t>One-HUB-HP-22-01</t>
  </si>
  <si>
    <t>One-HUB-HP-23</t>
  </si>
  <si>
    <t>One-HUB-HP-23-01</t>
  </si>
  <si>
    <t>One-HUB-HP-24</t>
  </si>
  <si>
    <t>One-HUB-HP-24-01</t>
  </si>
  <si>
    <t>One-HUB-HP-25</t>
  </si>
  <si>
    <t>One-HUB-HP-25-01</t>
  </si>
  <si>
    <t>One-HUB-HP-26</t>
  </si>
  <si>
    <t>One-HUB-HP-26-01</t>
  </si>
  <si>
    <t>One-HUB-HP-27</t>
  </si>
  <si>
    <t>One-HUB-HP-27-01</t>
  </si>
  <si>
    <t>One-HUB-HP-30</t>
  </si>
  <si>
    <t>One-HUB-HP-30-01</t>
  </si>
  <si>
    <t>One-HUB-SR-01</t>
  </si>
  <si>
    <t>S114 Product Experience Stage Section</t>
  </si>
  <si>
    <t>One-HUB-SR-01-01</t>
  </si>
  <si>
    <t>One-HUB-SR-02</t>
  </si>
  <si>
    <t>S128 Car Technical Data Section</t>
  </si>
  <si>
    <t xml:space="preserve">Item: optional Button </t>
  </si>
  <si>
    <t>One-HUB-SR-03</t>
  </si>
  <si>
    <t>One-HUB-SR-04</t>
  </si>
  <si>
    <t>S101 Heading Section</t>
  </si>
  <si>
    <t>One-HUB-SR-05</t>
  </si>
  <si>
    <t>One-HUB-SR-06</t>
  </si>
  <si>
    <t>S102 Two Columns Section</t>
  </si>
  <si>
    <t>I108 Link List Item  (left)</t>
  </si>
  <si>
    <t>One-HUB-SR-07</t>
  </si>
  <si>
    <t>S125 Highlight Feature Section</t>
  </si>
  <si>
    <t>Car Feature 1</t>
  </si>
  <si>
    <t>One-HUB-SR-08</t>
  </si>
  <si>
    <t>S122 Feature App Section</t>
  </si>
  <si>
    <t>One-HUB-SR-09</t>
  </si>
  <si>
    <t>S105 Mood Gallery Section</t>
  </si>
  <si>
    <t>One-HUB-SR-10</t>
  </si>
  <si>
    <t>One-HUB-SR-11</t>
  </si>
  <si>
    <t>S127 Feature Cluster Section</t>
  </si>
  <si>
    <t>Car Feature Category Item 1</t>
  </si>
  <si>
    <t>One-HUB-SR-12</t>
  </si>
  <si>
    <t>S130 USP Section</t>
  </si>
  <si>
    <r>
      <t xml:space="preserve">Item: Link 1: </t>
    </r>
    <r>
      <rPr>
        <b/>
        <sz val="11"/>
        <color theme="1"/>
        <rFont val="Calibri"/>
        <family val="2"/>
        <scheme val="minor"/>
      </rPr>
      <t>External Link/Internal Link</t>
    </r>
  </si>
  <si>
    <r>
      <t xml:space="preserve">Item: Link 2: </t>
    </r>
    <r>
      <rPr>
        <b/>
        <sz val="11"/>
        <color theme="1"/>
        <rFont val="Calibri"/>
        <family val="2"/>
        <scheme val="minor"/>
      </rPr>
      <t>Layer</t>
    </r>
  </si>
  <si>
    <r>
      <t xml:space="preserve">Item: Link 3: </t>
    </r>
    <r>
      <rPr>
        <b/>
        <sz val="11"/>
        <color theme="1"/>
        <rFont val="Calibri"/>
        <family val="2"/>
        <scheme val="minor"/>
      </rPr>
      <t>Download</t>
    </r>
  </si>
  <si>
    <t>One-HUB-SR-13</t>
  </si>
  <si>
    <t>One-HUB-SR-13-01</t>
  </si>
  <si>
    <t>One-HUB-SR-14</t>
  </si>
  <si>
    <t>One-HUB-SR-14-01</t>
  </si>
  <si>
    <t>One-HUB-SR-15</t>
  </si>
  <si>
    <t>One-HUB-SR-15-01</t>
  </si>
  <si>
    <t>One-HUB-SR-16</t>
  </si>
  <si>
    <t>One-HUB-SR-16-01</t>
  </si>
  <si>
    <t>One-HUB-SR-17</t>
  </si>
  <si>
    <t>One-HUB-SR-17-01</t>
  </si>
  <si>
    <t>One-HUB-SR-18</t>
  </si>
  <si>
    <t>One-HUB-SR-18-01</t>
  </si>
  <si>
    <t>One-HUB-SR-19</t>
  </si>
  <si>
    <t>One-HUB-SR-19-01</t>
  </si>
  <si>
    <t>One-HUB-SR-20</t>
  </si>
  <si>
    <t>One-HUB-SR-20-01</t>
  </si>
  <si>
    <t>One-HUB-SR-21</t>
  </si>
  <si>
    <t>One-HUB-SR-21-01</t>
  </si>
  <si>
    <t>One-HUB-SR-22</t>
  </si>
  <si>
    <t xml:space="preserve">Completed
</t>
  </si>
  <si>
    <t>One-HUB-SR-22-01</t>
  </si>
  <si>
    <t>One-HUB-SR-23</t>
  </si>
  <si>
    <t xml:space="preserve"> Completed</t>
  </si>
  <si>
    <t>One-HUB-SR-23-01</t>
  </si>
  <si>
    <t>One-HUB-SR-24</t>
  </si>
  <si>
    <t>One-HUB-SR-24-01</t>
  </si>
  <si>
    <t>One-HUB-SR-25</t>
  </si>
  <si>
    <t>One-HUB-SR-25-01</t>
  </si>
  <si>
    <t>One-HUB-SR-26</t>
  </si>
  <si>
    <t>One-HUB-SR-26-01</t>
  </si>
  <si>
    <t>One-HUB-SR-27</t>
  </si>
  <si>
    <t>One-HUB-SR-27-01</t>
  </si>
  <si>
    <t>One-HUB-SR-28</t>
  </si>
  <si>
    <t>One-HUB-SR-28-01</t>
  </si>
  <si>
    <t>One-HUB-SR-29</t>
  </si>
  <si>
    <t>One-HUB-SR-29-01</t>
  </si>
  <si>
    <t>One-HUB-SR-30</t>
  </si>
  <si>
    <t>One-HUB-SR-30-01</t>
  </si>
  <si>
    <t>One-HUB-SR-31</t>
  </si>
  <si>
    <t>One-HUB-SR-31-01</t>
  </si>
  <si>
    <t>One-HUB-SR-32</t>
  </si>
  <si>
    <t>One-HUB-SR-32-01</t>
  </si>
  <si>
    <t>One-HUB-SR-33</t>
  </si>
  <si>
    <t>One-HUB-SR-33-01</t>
  </si>
  <si>
    <t>One-HUB-SR-34</t>
  </si>
  <si>
    <t>One-HUB-SR-34-01</t>
  </si>
  <si>
    <t>One-HUB-SR-35</t>
  </si>
  <si>
    <t>One-HUB-SR-35-01</t>
  </si>
  <si>
    <t>One-HUB-SR-36</t>
  </si>
  <si>
    <t>One-HUB-SR-36-01</t>
  </si>
  <si>
    <t>One-HUB-EOP-01</t>
  </si>
  <si>
    <t>S106 Editorial Stage Section</t>
  </si>
  <si>
    <t>One-HUB-EOP-02</t>
  </si>
  <si>
    <t>One-HUB-EOP-03</t>
  </si>
  <si>
    <t xml:space="preserve">S115 Focus Teaser Section </t>
  </si>
  <si>
    <t>One-HUB-EOP-04</t>
  </si>
  <si>
    <t>S123 Second Level Teaser Section</t>
  </si>
  <si>
    <t>Item: grid-like view teaser</t>
  </si>
  <si>
    <t>One-HUB-EOP-05</t>
  </si>
  <si>
    <t>One-HUB-EOP-06</t>
  </si>
  <si>
    <t>S117 Accordion Section</t>
  </si>
  <si>
    <t>Item: I117Accordion Item 1</t>
  </si>
  <si>
    <t>One-HUB-EOP-07</t>
  </si>
  <si>
    <t>S124 Table Section</t>
  </si>
  <si>
    <t>One-HUB-EOP-08</t>
  </si>
  <si>
    <t>S126 Iframe Integrator Section</t>
  </si>
  <si>
    <t>One-HUB-EOP-09</t>
  </si>
  <si>
    <t>S111 Pros and Cons Section</t>
  </si>
  <si>
    <t>One-HUB-EOP-10</t>
  </si>
  <si>
    <t>S112 Step By Step Section</t>
  </si>
  <si>
    <t>One-HUB-EOP-11</t>
  </si>
  <si>
    <t>One-HUB-EOP-11-01</t>
  </si>
  <si>
    <t>One-HUB-EOP-12</t>
  </si>
  <si>
    <t>One-HUB-EOP-12-01</t>
  </si>
  <si>
    <t>One-HUB-EOP-13</t>
  </si>
  <si>
    <t>One-HUB-EOP-13-01</t>
  </si>
  <si>
    <t>One-HUB-EOP-14</t>
  </si>
  <si>
    <t>One-HUB-EOP-14-01</t>
  </si>
  <si>
    <t>One-HUB-EOP-15</t>
  </si>
  <si>
    <t>One-HUB-EOP-15-01</t>
  </si>
  <si>
    <t>One-HUB-EOP-16</t>
  </si>
  <si>
    <t>One-HUB-EOP-16-01</t>
  </si>
  <si>
    <t>One-HUB-EOP-17</t>
  </si>
  <si>
    <t>One-HUB-EOP-17-01</t>
  </si>
  <si>
    <t>One-HUB-EOP-18</t>
  </si>
  <si>
    <t>One-HUB-EOP-18-01</t>
  </si>
  <si>
    <t>One-HUB-EOP-19</t>
  </si>
  <si>
    <t>One-HUB-EOP-19-01</t>
  </si>
  <si>
    <t>One-HUB-EOP-20</t>
  </si>
  <si>
    <t>One-HUB-EOP-20-01</t>
  </si>
  <si>
    <t>One-HUB-EOP-21</t>
  </si>
  <si>
    <t>One-HUB-EOP-21-01</t>
  </si>
  <si>
    <t>One-HUB-EOP-22</t>
  </si>
  <si>
    <t>One-HUB-EOP-22-01</t>
  </si>
  <si>
    <t>One-HUB-EOP-23</t>
  </si>
  <si>
    <t>One-HUB-EOP-23-01</t>
  </si>
  <si>
    <t>One-HUB-EOP-24</t>
  </si>
  <si>
    <t>One-HUB-EOP-24-01</t>
  </si>
  <si>
    <t>One-HUB-EOP-25</t>
  </si>
  <si>
    <t>One-HUB-EOP-25-01</t>
  </si>
  <si>
    <t>One-HUB-EOP-26</t>
  </si>
  <si>
    <t>One-HUB-EOP-26-01</t>
  </si>
  <si>
    <t>One-HUB-EOP-27</t>
  </si>
  <si>
    <t>One-HUB-EOP-27-01</t>
  </si>
  <si>
    <t>One-HUB-EOP-28</t>
  </si>
  <si>
    <t>One-HUB-EOP-28-01</t>
  </si>
  <si>
    <t>One-HUB-EOP-29</t>
  </si>
  <si>
    <t>One-HUB-EOP-29-01</t>
  </si>
  <si>
    <t>One-HUB-EOP-30</t>
  </si>
  <si>
    <t>One-HUB-EOP-30-01</t>
  </si>
  <si>
    <t>One-HUB-EP-01</t>
  </si>
  <si>
    <t>S109 Answers Stage</t>
  </si>
  <si>
    <t>One-HUB-EP-02</t>
  </si>
  <si>
    <t>One-HUB-EP-03</t>
  </si>
  <si>
    <t>One-HUB-EP-04</t>
  </si>
  <si>
    <t>One-HUB-EP-05</t>
  </si>
  <si>
    <t>S103 Copy Inset Media Section</t>
  </si>
  <si>
    <t>One-HUB-EP-06</t>
  </si>
  <si>
    <t>One-HUB-EP-07</t>
  </si>
  <si>
    <t>S107 Intro Copy Section</t>
  </si>
  <si>
    <t>One-HUB-EP-08</t>
  </si>
  <si>
    <t>One-HUB-EP-09</t>
  </si>
  <si>
    <t>One-HUB-EP-10</t>
  </si>
  <si>
    <t>One-HUB-EP-11</t>
  </si>
  <si>
    <t>S118 Countdown section</t>
  </si>
  <si>
    <t>Countdown Element</t>
  </si>
  <si>
    <t>Pre-Booking Element</t>
  </si>
  <si>
    <t>One-HUB-EP-12</t>
  </si>
  <si>
    <t>One-HUB-EP-13</t>
  </si>
  <si>
    <t>One-HUB-EP-13-01</t>
  </si>
  <si>
    <t>One-HUB-EP-14</t>
  </si>
  <si>
    <t>One-HUB-EP-14-01</t>
  </si>
  <si>
    <t>One-HUB-EP-15</t>
  </si>
  <si>
    <t>One-HUB-EP-15-01</t>
  </si>
  <si>
    <t>One-HUB-EP-16</t>
  </si>
  <si>
    <t>One-HUB-EP-16-01</t>
  </si>
  <si>
    <t>One-HUB-EP-17</t>
  </si>
  <si>
    <t>One-HUB-EP-17-01</t>
  </si>
  <si>
    <t>One-HUB-EP-18</t>
  </si>
  <si>
    <t>One-HUB-EP-18-01</t>
  </si>
  <si>
    <t>One-HUB-EP-19</t>
  </si>
  <si>
    <t>One-HUB-EP-19-01</t>
  </si>
  <si>
    <t>One-HUB-EP-20</t>
  </si>
  <si>
    <t>One-HUB-EP-20-01</t>
  </si>
  <si>
    <t>One-HUB-EP-21</t>
  </si>
  <si>
    <t>One-HUB-EP-21-01</t>
  </si>
  <si>
    <t>One-HUB-EP-22</t>
  </si>
  <si>
    <t>One-HUB-EP-22-01</t>
  </si>
  <si>
    <t>One-HUB-EP-23</t>
  </si>
  <si>
    <t>One-HUB-EP-23-01</t>
  </si>
  <si>
    <t>One-HUB-EP-24</t>
  </si>
  <si>
    <t>One-HUB-EP-24-01</t>
  </si>
  <si>
    <t>One-HUB-EP-25</t>
  </si>
  <si>
    <t>One-HUB-EP-25-01</t>
  </si>
  <si>
    <t>One-HUB-EP-26</t>
  </si>
  <si>
    <t>One-HUB-EP-26-01</t>
  </si>
  <si>
    <t>One-HUB-EP-27</t>
  </si>
  <si>
    <t>One-HUB-EP-27-01</t>
  </si>
  <si>
    <t>One-HUB-EP-28</t>
  </si>
  <si>
    <t>One-HUB-EP-28-01</t>
  </si>
  <si>
    <t>One-HUB-EP-29</t>
  </si>
  <si>
    <t>One-HUB-EP-29-01</t>
  </si>
  <si>
    <t>One-HUB-EP-30</t>
  </si>
  <si>
    <t>One-HUB-EP-30-01</t>
  </si>
  <si>
    <t>One-HUB-EP-31</t>
  </si>
  <si>
    <t>One-HUB-EP-31-01</t>
  </si>
  <si>
    <t>One-HUB-EP-32</t>
  </si>
  <si>
    <t>One-HUB-EP-32-01</t>
  </si>
  <si>
    <t>One-HUB-EP-33</t>
  </si>
  <si>
    <t>One-HUB-EP-33-01</t>
  </si>
  <si>
    <t>One-HUB-EP-34</t>
  </si>
  <si>
    <t>One-HUB-EP-34-01</t>
  </si>
  <si>
    <t>One-HUB-EP-35</t>
  </si>
  <si>
    <t>One-HUB-EP-35-01</t>
  </si>
  <si>
    <t>One-HUB-EP-36</t>
  </si>
  <si>
    <t>One-HUB-EP-36-01</t>
  </si>
  <si>
    <t>One-HUB-MOP-01</t>
  </si>
  <si>
    <t>No</t>
  </si>
  <si>
    <t>One-HUB-ERP-01</t>
  </si>
  <si>
    <t>One-HUB-ERP-02</t>
  </si>
  <si>
    <t>One-HUB-ERP-03</t>
  </si>
  <si>
    <t>One-HUB-ERP-04</t>
  </si>
  <si>
    <t>One-HUB-ERP-05</t>
  </si>
  <si>
    <t>One-HUB-ERP-06</t>
  </si>
  <si>
    <t>One-HUB-ERP-07</t>
  </si>
  <si>
    <t>One-HUB-ERP-08</t>
  </si>
  <si>
    <t>One-HUB-ERP-09</t>
  </si>
  <si>
    <t>ONE-HUB-XF-01</t>
  </si>
  <si>
    <t>Disclaimers</t>
  </si>
  <si>
    <t>Type 1. Global</t>
  </si>
  <si>
    <t>ONE-HUB-XF-02</t>
  </si>
  <si>
    <t>ONE-HUB-XF-03</t>
  </si>
  <si>
    <t>Type 2. Page-Based</t>
  </si>
  <si>
    <t>ONE-HUB-XF-04</t>
  </si>
  <si>
    <t>ONE-HUB-XF-05</t>
  </si>
  <si>
    <t>Type 3. Section-Based</t>
  </si>
  <si>
    <t>ONE-HUB-XF-06</t>
  </si>
  <si>
    <t>ONE-HUB-XF-07</t>
  </si>
  <si>
    <t>Type 4. Item-Based</t>
  </si>
  <si>
    <t>ONE-HUB-XF-08</t>
  </si>
  <si>
    <t>ONE-HUB-XF-09</t>
  </si>
  <si>
    <t>Type 5. Inline</t>
  </si>
  <si>
    <t>ONE-HUB-XF-10</t>
  </si>
  <si>
    <t>ONE-HUB-XF-11</t>
  </si>
  <si>
    <t xml:space="preserve">Type 6. Pageload-Based
           </t>
  </si>
  <si>
    <t>ONE-HUB-XF-12</t>
  </si>
  <si>
    <t>ONE-HUB-XF-13</t>
  </si>
  <si>
    <t xml:space="preserve">Internal / External links
</t>
  </si>
  <si>
    <t xml:space="preserve">Validation, that in the disclaimer copy text:
- internal link can be set (pathbrowser int. Link)
- external link can be set
- opened only on the same page (target/the same)
</t>
  </si>
  <si>
    <t>ONE-HUB-XF-14</t>
  </si>
  <si>
    <t>Layers</t>
  </si>
  <si>
    <t>Content Layer XF</t>
  </si>
  <si>
    <t>Items:
- Richtext Simple
- Heading
- Copy Item
- Quote Item
- Statement Item
- Media Single Item
- Media Gallery Item
- Table Item
- Copy Inset Item
- Expand Collapse Item
- Item Group</t>
  </si>
  <si>
    <t>ONE-HUB-XF-15</t>
  </si>
  <si>
    <t>ONE-HUB-XF-16</t>
  </si>
  <si>
    <t>Interaction Layer XF</t>
  </si>
  <si>
    <t>Items:
- Heading
- Richtext Full
- Copy Item
- Link List Item</t>
  </si>
  <si>
    <t>ONE-HUB-XF-17</t>
  </si>
  <si>
    <t>ONE-HUB-XF-18</t>
  </si>
  <si>
    <t>Carfeatures</t>
  </si>
  <si>
    <t>Car Feature Category XF</t>
  </si>
  <si>
    <t xml:space="preserve">Items:
- Richtext Simple
- Richtext Full
</t>
  </si>
  <si>
    <t>ONE-HUB-XF-19</t>
  </si>
  <si>
    <t>ONE-HUB-XF-20</t>
  </si>
  <si>
    <t>Car Feature XF</t>
  </si>
  <si>
    <t>Item:
- Richtext Simple
- Heading
- Media Single Item
- Richtext Simple
- Copy Item
- Quote Item
- Statement Item
- Media Single Item</t>
  </si>
  <si>
    <t>ONE-HUB-XF-21</t>
  </si>
  <si>
    <t>Validation, that 
- the Car Feature XF can be set in a S125 Highlight Feature Section on a page</t>
  </si>
  <si>
    <t>ONE-HUB-XF-22</t>
  </si>
  <si>
    <t>Authors</t>
  </si>
  <si>
    <t>Author</t>
  </si>
  <si>
    <t>Item:
Author Name</t>
  </si>
  <si>
    <t>ONE-HUB-XF-23</t>
  </si>
  <si>
    <t>ONE-HUB-XF-24</t>
  </si>
  <si>
    <t>Photographers</t>
  </si>
  <si>
    <t>Item:
Photographer Name</t>
  </si>
  <si>
    <t>ONE-HUB-XF-25</t>
  </si>
  <si>
    <t>ONE-HUB-XF-26</t>
  </si>
  <si>
    <t>Editorial Teaser</t>
  </si>
  <si>
    <t>Items:
- Media Element Image
- Category Link (optional)
- Richtext Simple
- Richtext Simple</t>
  </si>
  <si>
    <t>ONE-HUB-XF-27</t>
  </si>
  <si>
    <t>ONE-HUB-DAM-01</t>
  </si>
  <si>
    <t>Upload Image</t>
  </si>
  <si>
    <t>.jpg</t>
  </si>
  <si>
    <t>ONE-HUB-DAM-02</t>
  </si>
  <si>
    <t>.png</t>
  </si>
  <si>
    <t>ONE-HUB-DAM-03</t>
  </si>
  <si>
    <t>.mp4</t>
  </si>
  <si>
    <t>ONE-HUB-DAM-04</t>
  </si>
  <si>
    <t>.pdf</t>
  </si>
  <si>
    <t>Example</t>
  </si>
  <si>
    <t>One-HUB-GF-01</t>
  </si>
  <si>
    <t>VW ID</t>
  </si>
  <si>
    <t>One-HUB-GF-02</t>
  </si>
  <si>
    <t>One-HUB-GF-03</t>
  </si>
  <si>
    <t>NavigationFlayout</t>
  </si>
  <si>
    <t>One-HUB-GF-04</t>
  </si>
  <si>
    <t>One-HUB-GF-05</t>
  </si>
  <si>
    <t>Top Bar</t>
  </si>
  <si>
    <t>One-HUB-GF-06</t>
  </si>
  <si>
    <t>OneShop</t>
  </si>
  <si>
    <t>One-HUB-GF-07</t>
  </si>
  <si>
    <t>One-HUB-GF-08</t>
  </si>
  <si>
    <t>Search</t>
  </si>
  <si>
    <t>One-HUB-GF-09</t>
  </si>
  <si>
    <t xml:space="preserve">MOFA </t>
  </si>
  <si>
    <t>One-HUB-GF-10</t>
  </si>
  <si>
    <t>Configurator</t>
  </si>
  <si>
    <t>One-HUB-GF-11</t>
  </si>
  <si>
    <t>Media Elements</t>
  </si>
  <si>
    <t>One-HUB-GF-12</t>
  </si>
  <si>
    <t>Tables</t>
  </si>
  <si>
    <t>One-HUB-GF-13</t>
  </si>
  <si>
    <t>External Link Light Box</t>
  </si>
  <si>
    <t>One-HUB-GF-14</t>
  </si>
  <si>
    <t>One-HUB-GF-15</t>
  </si>
  <si>
    <t>Global Disclaimer</t>
  </si>
  <si>
    <t>One-HUB-GF-16</t>
  </si>
  <si>
    <t>Integrator Template</t>
  </si>
  <si>
    <t>One-HUB-GF-18</t>
  </si>
  <si>
    <t>unsupported Browser Notification</t>
  </si>
  <si>
    <t>One-HUB-GF-19</t>
  </si>
  <si>
    <t>Breadcrumbs</t>
  </si>
  <si>
    <t>One-HUB-GF-20</t>
  </si>
  <si>
    <t>In-Page Navigation</t>
  </si>
  <si>
    <t>One-HUB-GF-21</t>
  </si>
  <si>
    <t>Anchor</t>
  </si>
  <si>
    <t>One-HUB-GF-22</t>
  </si>
  <si>
    <t>Alias</t>
  </si>
  <si>
    <t>One-HUB-GF-23</t>
  </si>
  <si>
    <t>Skip Links</t>
  </si>
  <si>
    <t>One-HUB-GF-24</t>
  </si>
  <si>
    <t>NBAB</t>
  </si>
  <si>
    <t>One-HUB-GF-25</t>
  </si>
  <si>
    <t>Update TA status for To Sit and XF tab</t>
  </si>
  <si>
    <t>Poojitha pakala</t>
  </si>
  <si>
    <t>Update TA status for XF tab added comments for ONE-HUB-XF-19 and ONE-HUB-XF-21</t>
  </si>
  <si>
    <t>Jayalakshmi Annadurai</t>
  </si>
  <si>
    <t>Updated TA Status for Error page test case. Added comments for One-HUB-ERP-01,  One-HUB-ERP-02, One-HUB-ERP-03 , One-HUB-ERP-07</t>
  </si>
  <si>
    <t>Update TA Status for Homepage, Showroom Page, Editorial Overview Page, Editorial Page testcases</t>
  </si>
  <si>
    <t>Updated TA Status for Error page test case</t>
  </si>
  <si>
    <t>Removed Comments for TO SIT test case.  Removed  is displayed on the publisher line from charter after checking the scirpt</t>
  </si>
  <si>
    <t>Removed comments for XF test cases after confirmation with William</t>
  </si>
  <si>
    <t>NO</t>
  </si>
  <si>
    <t>Template to sit: Inpagenavigation and NBABS</t>
  </si>
  <si>
    <t>One-HUB-FAP-01</t>
  </si>
  <si>
    <t>One-HUB-FAP-02</t>
  </si>
  <si>
    <t>Text only teaser</t>
  </si>
  <si>
    <t>ONE-HUB-XF-28</t>
  </si>
  <si>
    <t>ONE-HUB-XF-29</t>
  </si>
  <si>
    <t>Feature App Page (One-HUB-FAP-01/02); XF(ONE-HUB-XF-28, ONE-HUB-XF-29); TO sit (One-HUB-GF-20)</t>
  </si>
  <si>
    <t>One-HUB-FAP-03</t>
  </si>
  <si>
    <t>ONE-HUB-XF-30</t>
  </si>
  <si>
    <t>Updated TA status for XF(ONE-HUB-XF-28, ONE-HUB-XF-29, ONE-HUB-XF-30) and deleted comments of Error Page</t>
  </si>
  <si>
    <t>Update TA status for To Sit Onehub-GF-20 and Onehub-GF-25</t>
  </si>
  <si>
    <t>M.Kania</t>
  </si>
  <si>
    <t>Update Test Case: ONE-HUB-GF-20</t>
  </si>
  <si>
    <t>Updated TA status for One-HUB-GF-20</t>
  </si>
  <si>
    <t>Reddirani Anagjala</t>
  </si>
  <si>
    <t>TA OK</t>
  </si>
  <si>
    <t>_2022-09-14</t>
  </si>
  <si>
    <t>NBAB in SIT updates, Breadcrumbs Homepage updates</t>
  </si>
  <si>
    <t>_2022-10-11</t>
  </si>
  <si>
    <t>S128 Technical Data Section updated</t>
  </si>
  <si>
    <t>One-HUB-SR-02-1</t>
  </si>
  <si>
    <t>Varun Bhatnagar</t>
  </si>
  <si>
    <t>TA status for S128 technical data section updated</t>
  </si>
  <si>
    <t>TA status updated for GF-19</t>
  </si>
  <si>
    <t>S137 Content Slider Section</t>
  </si>
  <si>
    <t>S138 Scrollytelling Section</t>
  </si>
  <si>
    <t>One-HUB-SR-37</t>
  </si>
  <si>
    <t>One-HUB-SR-38</t>
  </si>
  <si>
    <t>XF: add Content Slider XF</t>
  </si>
  <si>
    <t>_2023-03-03</t>
  </si>
  <si>
    <t>Showroom 
Page</t>
  </si>
  <si>
    <t>Added S137  Section to the Showroom</t>
  </si>
  <si>
    <t>_2023-03-16</t>
  </si>
  <si>
    <t>S138 Scrollytelling</t>
  </si>
  <si>
    <t>One-HUB-SR-37-1</t>
  </si>
  <si>
    <t>One-HUB-SR-38-1</t>
  </si>
  <si>
    <t>One-HUB-SR-38-2</t>
  </si>
  <si>
    <t>One-HUB-SR-38-3</t>
  </si>
  <si>
    <t>One-HUB-SR-38-4</t>
  </si>
  <si>
    <t>One-HUB-SR-38-5</t>
  </si>
  <si>
    <t>One-HUB-SR-37-2</t>
  </si>
  <si>
    <t>One-HUB-SR-37-3</t>
  </si>
  <si>
    <t>One-HUB-SR-37-4</t>
  </si>
  <si>
    <t>Added S138 Scrollytelling Section</t>
  </si>
  <si>
    <t>Madhushree</t>
  </si>
  <si>
    <t>Updated TA status for S138 ScrollyTellingSection</t>
  </si>
  <si>
    <t xml:space="preserve">Validation, that
- a S138 with its items can be deleted </t>
  </si>
  <si>
    <t>Validation that
- the Showroom is displayed without S138 Section on the publisher.</t>
  </si>
  <si>
    <t xml:space="preserve">Validation, that
- a S137 with its items can be deleted 
</t>
  </si>
  <si>
    <t>Validation, that
- the Showroom is displayed without S137 Section on the publisher.</t>
  </si>
  <si>
    <t>Updated TA status for S137 Content Slider Section, Added comment for ONE-HUB-XF-31, ONE-HUB-XF-32</t>
  </si>
  <si>
    <t>Updated TA Status for GF-25</t>
  </si>
  <si>
    <t>Updated TA Status for FAP-01</t>
  </si>
  <si>
    <t>Updated TA Status for FAP-02 and FAP-03</t>
  </si>
  <si>
    <t>One-HUB-GF-26</t>
  </si>
  <si>
    <t>Updates To SIT: add Integrator Template with Forms D6, updates NBAB A/B Testing</t>
  </si>
  <si>
    <t>One-HUB-GF-27</t>
  </si>
  <si>
    <t>URL Mapping</t>
  </si>
  <si>
    <t>add URL Mapping for to SIT: One-HUB-GF-27</t>
  </si>
  <si>
    <t>Validation, that
- a .jpg file can be uploaded to DAM (Scene 7)
- a .jpg file can be use in the Site at the Section
- a .jpg file unpublished can be seen in author node (in View as Publish)
- Image appears in publish</t>
  </si>
  <si>
    <t>Validation, that
- a .png file can be uploaded to DAM (Scene 7)
- a .png file can be use in the Site at the Section
- a .png file unpublished can be seen in author node (in View as Publish)
- Image appears in publish</t>
  </si>
  <si>
    <t>Validation, that
- a .mp4 file can be uploaded to DAM (Scene 7)
- a .mp4 file can be use in the Site at the Section
- a .mpa file unpublished can be seen in author node (in View as Publish)
- Video/Animation appears in publish</t>
  </si>
  <si>
    <t>Validation, that
- a .pdf file can be uploaded to DAM (Scene 7)
- a .pdf file can be use in the Site at the Section
- pdf file can be download bevor publish in author node
- pdf file can be download in publish</t>
  </si>
  <si>
    <t>add checkpoint to S128 that the CTD FA can be opened with CTA</t>
  </si>
  <si>
    <t xml:space="preserve">Added checkpoint with checking unpublished assets in author node </t>
  </si>
  <si>
    <t>Dont delete, just hide</t>
  </si>
  <si>
    <t>Advanced Disclaimer</t>
  </si>
  <si>
    <t>ONE-HUB-XF-12-01</t>
  </si>
  <si>
    <t>ONE-HUB-XF-12-02</t>
  </si>
  <si>
    <t>H. Zayin</t>
  </si>
  <si>
    <t xml:space="preserve">Added checkpoint for Glossary Section </t>
  </si>
  <si>
    <t>Added checkpoint for advanced disclaimer</t>
  </si>
  <si>
    <t>Removed Integrator Template checkpoints in to sit</t>
  </si>
  <si>
    <t>_2025-06-04</t>
  </si>
  <si>
    <t>One-HUB-GF-28</t>
  </si>
  <si>
    <t>_2025-06-11</t>
  </si>
  <si>
    <t>Updated GF-28 Checkpoint for TA</t>
  </si>
  <si>
    <t>One-HUB-SR-02-2</t>
  </si>
  <si>
    <t>Showrom Page</t>
  </si>
  <si>
    <t>One-HUB-GF-29</t>
  </si>
  <si>
    <t>ONE-HUB-XF-31</t>
  </si>
  <si>
    <t>Accessibility</t>
  </si>
  <si>
    <t>One-HUB-ERP-10</t>
  </si>
  <si>
    <t>Accessiblity</t>
  </si>
  <si>
    <t>One-HUB-EP-37</t>
  </si>
  <si>
    <t>One-HUB-EOP-31</t>
  </si>
  <si>
    <t>One-HUB-SR-39</t>
  </si>
  <si>
    <t>One-HUB-HP-31</t>
  </si>
  <si>
    <t>_2025-06-25</t>
  </si>
  <si>
    <t>Added Checkpoint for Accessiblity for TOSIT, Error Page, EP, EOP, MOP, Showroom, Homepage</t>
  </si>
  <si>
    <t>Added Checkpoint for Showroom S128</t>
  </si>
  <si>
    <t>Removed Checkpoints for OneShop in TOSIT</t>
  </si>
  <si>
    <t>_2025-07-16</t>
  </si>
  <si>
    <t>Vidya Rani</t>
  </si>
  <si>
    <t>Updated the TA status for One-HUB-GF-28</t>
  </si>
  <si>
    <t>Updated the TA status for One-HUB-SR-02-2,ONE-HUB-XF-12-01</t>
  </si>
  <si>
    <t>S139 Basic Stage Section</t>
  </si>
  <si>
    <t>S139 Fullscreen Stage Section</t>
  </si>
  <si>
    <t>_2025-08-19</t>
  </si>
  <si>
    <t>Updated Checkpoints for S139 Basic Stage Section One-HUB-HP-01, One-HUB-HP-10, One-HUB-HP-10-01, One-HUB-HP-19, One-HUB-HP-19-01, One-HUB-SR-01-01</t>
  </si>
  <si>
    <t>Updated Checkpoint Integrator Template One-HUB-GF-16</t>
  </si>
  <si>
    <t>Open</t>
  </si>
  <si>
    <t>Updated TA status for S139 Basic Stage Section One-HUB-HP-01, One-HUB-HP-10, One-HUB-HP-10-01, One-HUB-HP-19, One-HUB-HP-19-01, One-HUB-SR-01-01 and One-HUB-GF-16</t>
  </si>
  <si>
    <t>Test goal (expected result)</t>
  </si>
  <si>
    <t>Section Items</t>
  </si>
  <si>
    <t>URL Testcontent</t>
  </si>
  <si>
    <t>Who</t>
  </si>
  <si>
    <t>FireFox v. 68</t>
  </si>
  <si>
    <r>
      <t xml:space="preserve">Testexecution </t>
    </r>
    <r>
      <rPr>
        <b/>
        <i/>
        <sz val="12"/>
        <color rgb="FF0070C0"/>
        <rFont val="Segoe UI"/>
        <family val="2"/>
      </rPr>
      <t xml:space="preserve">Product </t>
    </r>
    <r>
      <rPr>
        <b/>
        <sz val="12"/>
        <color rgb="FF0070C0"/>
        <rFont val="Segoe UI"/>
        <family val="2"/>
      </rPr>
      <t xml:space="preserve">Release Version: </t>
    </r>
    <r>
      <rPr>
        <b/>
        <i/>
        <sz val="12"/>
        <color rgb="FF0070C0"/>
        <rFont val="Segoe UI"/>
        <family val="2"/>
      </rPr>
      <t>n.nn.n</t>
    </r>
    <r>
      <rPr>
        <b/>
        <sz val="12"/>
        <color rgb="FF0070C0"/>
        <rFont val="Segoe UI"/>
        <family val="2"/>
      </rPr>
      <t xml:space="preserve">
Date Start:</t>
    </r>
    <r>
      <rPr>
        <b/>
        <i/>
        <sz val="12"/>
        <color rgb="FF0070C0"/>
        <rFont val="Segoe UI"/>
        <family val="2"/>
      </rPr>
      <t xml:space="preserve"> 16.09.2020</t>
    </r>
    <r>
      <rPr>
        <b/>
        <sz val="12"/>
        <color rgb="FF0070C0"/>
        <rFont val="Segoe UI"/>
        <family val="2"/>
      </rPr>
      <t xml:space="preserve">
Date Ende:</t>
    </r>
    <r>
      <rPr>
        <b/>
        <i/>
        <sz val="12"/>
        <color rgb="FF0070C0"/>
        <rFont val="Segoe UI"/>
        <family val="2"/>
      </rPr>
      <t xml:space="preserve"> 18.09.2020</t>
    </r>
  </si>
  <si>
    <r>
      <t xml:space="preserve">Environment: </t>
    </r>
    <r>
      <rPr>
        <b/>
        <i/>
        <sz val="12"/>
        <color rgb="FF0070C0"/>
        <rFont val="Segoe UI"/>
        <family val="2"/>
      </rPr>
      <t>https://ngw-stage.lighthouselabs.io/de/mofa.html</t>
    </r>
  </si>
  <si>
    <r>
      <rPr>
        <b/>
        <sz val="11"/>
        <rFont val="Segoe UI"/>
        <family val="2"/>
      </rPr>
      <t>Validation, that</t>
    </r>
    <r>
      <rPr>
        <sz val="11"/>
        <rFont val="Segoe UI"/>
        <family val="2"/>
      </rPr>
      <t xml:space="preserve">
- a S139 with its items can be </t>
    </r>
    <r>
      <rPr>
        <b/>
        <sz val="11"/>
        <rFont val="Segoe UI"/>
        <family val="2"/>
      </rPr>
      <t>created</t>
    </r>
    <r>
      <rPr>
        <sz val="11"/>
        <rFont val="Segoe UI"/>
        <family val="2"/>
      </rPr>
      <t xml:space="preserve"> 
- arranges a headline, a media element, a copy item and two optional CTA Button
- is saved</t>
    </r>
  </si>
  <si>
    <r>
      <t xml:space="preserve">S139 Fullscreen Stage Section
</t>
    </r>
    <r>
      <rPr>
        <sz val="11"/>
        <rFont val="Segoe UI"/>
        <family val="2"/>
      </rPr>
      <t>Item: Heading 
Item: Image
Item: I101Copy Item
Item: CTA Button with Link or Layer</t>
    </r>
    <r>
      <rPr>
        <b/>
        <sz val="11"/>
        <rFont val="Segoe UI"/>
        <family val="2"/>
      </rPr>
      <t xml:space="preserve">
</t>
    </r>
    <r>
      <rPr>
        <sz val="11"/>
        <rFont val="Segoe UI"/>
        <family val="2"/>
      </rPr>
      <t>Item: CTA Button with Link or Layer</t>
    </r>
  </si>
  <si>
    <r>
      <rPr>
        <b/>
        <sz val="11"/>
        <rFont val="Segoe UI"/>
        <family val="2"/>
      </rPr>
      <t>Validation, that</t>
    </r>
    <r>
      <rPr>
        <sz val="11"/>
        <rFont val="Segoe UI"/>
        <family val="2"/>
      </rPr>
      <t xml:space="preserve">
- a S113 with its items can be </t>
    </r>
    <r>
      <rPr>
        <b/>
        <sz val="11"/>
        <rFont val="Segoe UI"/>
        <family val="2"/>
      </rPr>
      <t>created</t>
    </r>
    <r>
      <rPr>
        <sz val="11"/>
        <rFont val="Segoe UI"/>
        <family val="2"/>
      </rPr>
      <t xml:space="preserve"> 
- arranges a headline and between 2 and 4 Editorial Teaser Elements</t>
    </r>
    <r>
      <rPr>
        <strike/>
        <sz val="11"/>
        <rFont val="Segoe UI"/>
        <family val="2"/>
      </rPr>
      <t xml:space="preserve">
</t>
    </r>
  </si>
  <si>
    <r>
      <t xml:space="preserve">S113 First Level Teaser
</t>
    </r>
    <r>
      <rPr>
        <sz val="11"/>
        <rFont val="Segoe UI"/>
        <family val="2"/>
      </rPr>
      <t>Item: Heading 
Editorial Teaser Element 1
Editorial Teaser Element 2
Editorial Teaser Element 3
Editorial Teaser Element 4</t>
    </r>
  </si>
  <si>
    <r>
      <rPr>
        <b/>
        <sz val="11"/>
        <rFont val="Segoe UI"/>
        <family val="2"/>
      </rPr>
      <t>Validation, that</t>
    </r>
    <r>
      <rPr>
        <sz val="11"/>
        <rFont val="Segoe UI"/>
        <family val="2"/>
      </rPr>
      <t xml:space="preserve">
- a S116 with its items can be </t>
    </r>
    <r>
      <rPr>
        <b/>
        <sz val="11"/>
        <rFont val="Segoe UI"/>
        <family val="2"/>
      </rPr>
      <t>created</t>
    </r>
    <r>
      <rPr>
        <sz val="11"/>
        <rFont val="Segoe UI"/>
        <family val="2"/>
      </rPr>
      <t xml:space="preserve"> 
- arranges a headline and several sections
</t>
    </r>
  </si>
  <si>
    <r>
      <t xml:space="preserve">S116 Section Group
S115 Focus Teaser Section
S110 Highlight Teaser Section
S102 Single Column Section (all Items)
Item: Heading 
</t>
    </r>
    <r>
      <rPr>
        <sz val="11"/>
        <rFont val="Segoe UI"/>
        <family val="2"/>
      </rPr>
      <t>I101 Copy Item
I102 Quote Item
I103 Statement Item
I106 Media Single Item
I108 Link List Item</t>
    </r>
  </si>
  <si>
    <r>
      <rPr>
        <b/>
        <sz val="11"/>
        <rFont val="Segoe UI"/>
        <family val="2"/>
      </rPr>
      <t>Validation, that</t>
    </r>
    <r>
      <rPr>
        <sz val="11"/>
        <rFont val="Segoe UI"/>
        <family val="2"/>
      </rPr>
      <t xml:space="preserve">
- a S115 with its items can be </t>
    </r>
    <r>
      <rPr>
        <b/>
        <sz val="11"/>
        <rFont val="Segoe UI"/>
        <family val="2"/>
      </rPr>
      <t>created</t>
    </r>
    <r>
      <rPr>
        <sz val="11"/>
        <rFont val="Segoe UI"/>
        <family val="2"/>
      </rPr>
      <t xml:space="preserve"> 
- arranges a focus teaser element</t>
    </r>
  </si>
  <si>
    <r>
      <t xml:space="preserve">S115 Focus Teaser Section
</t>
    </r>
    <r>
      <rPr>
        <sz val="11"/>
        <rFont val="Segoe UI"/>
        <family val="2"/>
      </rPr>
      <t>Editorial Teaser Element 1
Item: Additional Link</t>
    </r>
  </si>
  <si>
    <r>
      <rPr>
        <b/>
        <sz val="11"/>
        <rFont val="Segoe UI"/>
        <family val="2"/>
      </rPr>
      <t>Validation, that</t>
    </r>
    <r>
      <rPr>
        <sz val="11"/>
        <rFont val="Segoe UI"/>
        <family val="2"/>
      </rPr>
      <t xml:space="preserve">
- a S110 with its items can be </t>
    </r>
    <r>
      <rPr>
        <b/>
        <sz val="11"/>
        <rFont val="Segoe UI"/>
        <family val="2"/>
      </rPr>
      <t>created</t>
    </r>
    <r>
      <rPr>
        <sz val="11"/>
        <rFont val="Segoe UI"/>
        <family val="2"/>
      </rPr>
      <t xml:space="preserve"> 
- arranges between 3 and 5 Editorial Teaser Elements
</t>
    </r>
  </si>
  <si>
    <r>
      <t xml:space="preserve">S110 Highlight Teaser Section
</t>
    </r>
    <r>
      <rPr>
        <sz val="11"/>
        <rFont val="Segoe UI"/>
        <family val="2"/>
      </rPr>
      <t>Editorial Teaser Element 1
Editorial Teaser Element 2
Editorial Teaser Element 3</t>
    </r>
  </si>
  <si>
    <r>
      <rPr>
        <b/>
        <sz val="11"/>
        <rFont val="Segoe UI"/>
        <family val="2"/>
      </rPr>
      <t>Validation, that</t>
    </r>
    <r>
      <rPr>
        <sz val="11"/>
        <rFont val="Segoe UI"/>
        <family val="2"/>
      </rPr>
      <t xml:space="preserve">
- a S102 with its items can be </t>
    </r>
    <r>
      <rPr>
        <b/>
        <sz val="11"/>
        <rFont val="Segoe UI"/>
        <family val="2"/>
      </rPr>
      <t>created</t>
    </r>
    <r>
      <rPr>
        <sz val="11"/>
        <rFont val="Segoe UI"/>
        <family val="2"/>
      </rPr>
      <t xml:space="preserve"> 
- arranges a headline and a column for items 
- Items: I101 copy item; I102 quote item;I103 statement item;I106 media single item ;I126 link list item
</t>
    </r>
  </si>
  <si>
    <r>
      <t xml:space="preserve">S102 Single Column Section
</t>
    </r>
    <r>
      <rPr>
        <sz val="11"/>
        <rFont val="Segoe UI"/>
        <family val="2"/>
      </rPr>
      <t>Item: Heading 
I101 Copy Item
I102 Quote Item
I103 Statement Item
I106 Media Single Item
I108 Link List Item</t>
    </r>
  </si>
  <si>
    <r>
      <rPr>
        <b/>
        <sz val="11"/>
        <rFont val="Segoe UI"/>
        <family val="2"/>
      </rPr>
      <t>Validation, that</t>
    </r>
    <r>
      <rPr>
        <sz val="11"/>
        <rFont val="Segoe UI"/>
        <family val="2"/>
      </rPr>
      <t xml:space="preserve">
- a S108 with its items can be </t>
    </r>
    <r>
      <rPr>
        <b/>
        <sz val="11"/>
        <rFont val="Segoe UI"/>
        <family val="2"/>
      </rPr>
      <t>created</t>
    </r>
    <r>
      <rPr>
        <sz val="11"/>
        <rFont val="Segoe UI"/>
        <family val="2"/>
      </rPr>
      <t xml:space="preserve"> 
- arranges 3 or 6 teaser elements 
- is saved</t>
    </r>
  </si>
  <si>
    <r>
      <t xml:space="preserve">S108 Editorial Teaser Section
</t>
    </r>
    <r>
      <rPr>
        <sz val="11"/>
        <rFont val="Segoe UI"/>
        <family val="2"/>
      </rPr>
      <t>Item: Heading 
Editorial Teaser Element 1
Editorial Teaser Element 2
Editorial Teaser Element 3
Editorial Teaser Element 4
Editorial Teaser Element 5
Editorial Teaser Element 6</t>
    </r>
  </si>
  <si>
    <r>
      <rPr>
        <b/>
        <sz val="11"/>
        <rFont val="Segoe UI"/>
        <family val="2"/>
      </rPr>
      <t>Validation, that</t>
    </r>
    <r>
      <rPr>
        <sz val="11"/>
        <rFont val="Segoe UI"/>
        <family val="2"/>
      </rPr>
      <t xml:space="preserve">
- a S119 with its items can be </t>
    </r>
    <r>
      <rPr>
        <b/>
        <sz val="11"/>
        <rFont val="Segoe UI"/>
        <family val="2"/>
      </rPr>
      <t>created</t>
    </r>
    <r>
      <rPr>
        <sz val="11"/>
        <rFont val="Segoe UI"/>
        <family val="2"/>
      </rPr>
      <t xml:space="preserve">
- arranges a headline, a copy item and a CTA Button which provides a link to a newsletter signup form</t>
    </r>
  </si>
  <si>
    <r>
      <t xml:space="preserve">S119 Newsletter Signup Section
</t>
    </r>
    <r>
      <rPr>
        <sz val="11"/>
        <rFont val="Segoe UI"/>
        <family val="2"/>
      </rPr>
      <t>Item: Heading 
Item: I101Copy Item
CTA Button</t>
    </r>
  </si>
  <si>
    <r>
      <rPr>
        <b/>
        <sz val="11"/>
        <rFont val="Segoe UI"/>
        <family val="2"/>
      </rPr>
      <t>Validation, that</t>
    </r>
    <r>
      <rPr>
        <sz val="11"/>
        <rFont val="Segoe UI"/>
        <family val="2"/>
      </rPr>
      <t xml:space="preserve">
- a S108 with its items can be </t>
    </r>
    <r>
      <rPr>
        <b/>
        <sz val="11"/>
        <rFont val="Segoe UI"/>
        <family val="2"/>
      </rPr>
      <t>created</t>
    </r>
    <r>
      <rPr>
        <sz val="11"/>
        <rFont val="Segoe UI"/>
        <family val="2"/>
      </rPr>
      <t xml:space="preserve"> 
- arranges 3 or 6 teaser elements 
</t>
    </r>
  </si>
  <si>
    <r>
      <t xml:space="preserve">S129 Power Teaser Section
</t>
    </r>
    <r>
      <rPr>
        <sz val="11"/>
        <rFont val="Segoe UI"/>
        <family val="2"/>
      </rPr>
      <t>Item: Richtext Simple
Item: Heading 
Item: I101Copy Item
Icon Bullet Point Element 1: with CAR_FRONT Icon
Icon Bullet Point Element 2: with CONTACT_DEALER Icon
Icon Bullet Point Element 3: with DOWNLOAD Icon
Icon Bullet Point Element 4: with MAIL Icon
Icon Bullet Point Element 5: with CALENDAR Icon
Icon Bullet Point Element 6: with BROCHURE Icon
CTA Button
Image</t>
    </r>
  </si>
  <si>
    <r>
      <rPr>
        <b/>
        <sz val="11"/>
        <rFont val="Segoe UI"/>
        <family val="2"/>
      </rPr>
      <t>Validation, that</t>
    </r>
    <r>
      <rPr>
        <sz val="11"/>
        <rFont val="Segoe UI"/>
        <family val="2"/>
      </rPr>
      <t xml:space="preserve">
- a S132 with its items can be </t>
    </r>
    <r>
      <rPr>
        <b/>
        <sz val="11"/>
        <rFont val="Segoe UI"/>
        <family val="2"/>
      </rPr>
      <t>created</t>
    </r>
    <r>
      <rPr>
        <sz val="11"/>
        <rFont val="Segoe UI"/>
        <family val="2"/>
      </rPr>
      <t xml:space="preserve"> 
- arraganges I132 Expand Collapse Items</t>
    </r>
  </si>
  <si>
    <r>
      <t xml:space="preserve">Item: I132 Expand Collapse Item 1
</t>
    </r>
    <r>
      <rPr>
        <sz val="11"/>
        <rFont val="Segoe UI"/>
        <family val="2"/>
      </rPr>
      <t>Item: Image
Item: Richtext Simple
Item: Richtext Full
Item: Link</t>
    </r>
    <r>
      <rPr>
        <b/>
        <sz val="11"/>
        <rFont val="Segoe UI"/>
        <family val="2"/>
      </rPr>
      <t xml:space="preserve">
Item: I132 Expand Collapse Item 2
</t>
    </r>
    <r>
      <rPr>
        <sz val="11"/>
        <rFont val="Segoe UI"/>
        <family val="2"/>
      </rPr>
      <t xml:space="preserve">Item: Image
Item: Richtext Simple
Item: Richtext Full
Item: Link
</t>
    </r>
    <r>
      <rPr>
        <b/>
        <sz val="11"/>
        <rFont val="Segoe UI"/>
        <family val="2"/>
      </rPr>
      <t>Item: I132 Expand Collapse Item 3</t>
    </r>
    <r>
      <rPr>
        <sz val="11"/>
        <rFont val="Segoe UI"/>
        <family val="2"/>
      </rPr>
      <t xml:space="preserve">
Item: Image
Item: Richtext Simple
Item: Richtext Full
Item: Link
</t>
    </r>
    <r>
      <rPr>
        <b/>
        <sz val="11"/>
        <rFont val="Segoe UI"/>
        <family val="2"/>
      </rPr>
      <t>Item: I132 Expand Collapse Item 4</t>
    </r>
    <r>
      <rPr>
        <sz val="11"/>
        <rFont val="Segoe UI"/>
        <family val="2"/>
      </rPr>
      <t xml:space="preserve">
Item: Image
Item: Richtext Simple
Item: Richtext Full
Item: Link</t>
    </r>
  </si>
  <si>
    <r>
      <rPr>
        <b/>
        <sz val="11"/>
        <rFont val="Segoe UI"/>
        <family val="2"/>
      </rPr>
      <t>Validation, that</t>
    </r>
    <r>
      <rPr>
        <sz val="11"/>
        <rFont val="Segoe UI"/>
        <family val="2"/>
      </rPr>
      <t xml:space="preserve">
- a S139 with its items can be </t>
    </r>
    <r>
      <rPr>
        <b/>
        <sz val="11"/>
        <rFont val="Segoe UI"/>
        <family val="2"/>
      </rPr>
      <t>modified</t>
    </r>
    <r>
      <rPr>
        <sz val="11"/>
        <rFont val="Segoe UI"/>
        <family val="2"/>
      </rPr>
      <t xml:space="preserve"> 
- arranges a headline, a media element, a copy item and an two optional CTA Button
</t>
    </r>
  </si>
  <si>
    <r>
      <rPr>
        <b/>
        <sz val="11"/>
        <rFont val="Segoe UI"/>
        <family val="2"/>
      </rPr>
      <t xml:space="preserve">Validation, that </t>
    </r>
    <r>
      <rPr>
        <sz val="11"/>
        <rFont val="Segoe UI"/>
        <family val="2"/>
      </rPr>
      <t xml:space="preserve">
- the S139 Fullscreen Stage Section is displayed on the </t>
    </r>
    <r>
      <rPr>
        <b/>
        <sz val="11"/>
        <rFont val="Segoe UI"/>
        <family val="2"/>
      </rPr>
      <t>publisher</t>
    </r>
    <r>
      <rPr>
        <sz val="11"/>
        <rFont val="Segoe UI"/>
        <family val="2"/>
      </rPr>
      <t xml:space="preserve"> 
- Both CTA Buttons with Link or Layer are clickable</t>
    </r>
  </si>
  <si>
    <r>
      <t xml:space="preserve">S104 Fullscreen Stage Section
</t>
    </r>
    <r>
      <rPr>
        <sz val="11"/>
        <rFont val="Segoe UI"/>
        <family val="2"/>
      </rPr>
      <t>Item: Heading 
Item: Image
Item: I101Copy Item
Item: CTA Button with Link or Layer</t>
    </r>
    <r>
      <rPr>
        <b/>
        <sz val="11"/>
        <rFont val="Segoe UI"/>
        <family val="2"/>
      </rPr>
      <t xml:space="preserve">
</t>
    </r>
    <r>
      <rPr>
        <sz val="11"/>
        <rFont val="Segoe UI"/>
        <family val="2"/>
      </rPr>
      <t>Item: CTA Button with Link or Layer</t>
    </r>
  </si>
  <si>
    <r>
      <rPr>
        <b/>
        <sz val="11"/>
        <rFont val="Segoe UI"/>
        <family val="2"/>
      </rPr>
      <t>Validation, that</t>
    </r>
    <r>
      <rPr>
        <sz val="11"/>
        <rFont val="Segoe UI"/>
        <family val="2"/>
      </rPr>
      <t xml:space="preserve">
- a S113 with its items can be </t>
    </r>
    <r>
      <rPr>
        <b/>
        <sz val="11"/>
        <rFont val="Segoe UI"/>
        <family val="2"/>
      </rPr>
      <t>modified</t>
    </r>
    <r>
      <rPr>
        <sz val="11"/>
        <rFont val="Segoe UI"/>
        <family val="2"/>
      </rPr>
      <t xml:space="preserve"> 
- arranges a headline and between 2 and 4 Editorial Teaser Elements
</t>
    </r>
  </si>
  <si>
    <r>
      <rPr>
        <b/>
        <sz val="11"/>
        <rFont val="Segoe UI"/>
        <family val="2"/>
      </rPr>
      <t xml:space="preserve"> Validation, that</t>
    </r>
    <r>
      <rPr>
        <sz val="11"/>
        <rFont val="Segoe UI"/>
        <family val="2"/>
      </rPr>
      <t xml:space="preserve">
- the S113  First Level Teaser is displayed on the </t>
    </r>
    <r>
      <rPr>
        <b/>
        <sz val="11"/>
        <rFont val="Segoe UI"/>
        <family val="2"/>
      </rPr>
      <t>publisher</t>
    </r>
  </si>
  <si>
    <r>
      <rPr>
        <b/>
        <sz val="11"/>
        <rFont val="Segoe UI"/>
        <family val="2"/>
      </rPr>
      <t>Validation, that</t>
    </r>
    <r>
      <rPr>
        <sz val="11"/>
        <rFont val="Segoe UI"/>
        <family val="2"/>
      </rPr>
      <t xml:space="preserve">
- a S116 with its items can be </t>
    </r>
    <r>
      <rPr>
        <b/>
        <sz val="11"/>
        <rFont val="Segoe UI"/>
        <family val="2"/>
      </rPr>
      <t>modified</t>
    </r>
    <r>
      <rPr>
        <sz val="11"/>
        <rFont val="Segoe UI"/>
        <family val="2"/>
      </rPr>
      <t xml:space="preserve"> 
- arranges a headline and several sections
</t>
    </r>
  </si>
  <si>
    <r>
      <rPr>
        <b/>
        <sz val="11"/>
        <rFont val="Segoe UI"/>
        <family val="2"/>
      </rPr>
      <t>Validation, that</t>
    </r>
    <r>
      <rPr>
        <sz val="11"/>
        <rFont val="Segoe UI"/>
        <family val="2"/>
      </rPr>
      <t xml:space="preserve">
- the S116 Section Group is displayed on the </t>
    </r>
    <r>
      <rPr>
        <b/>
        <sz val="11"/>
        <rFont val="Segoe UI"/>
        <family val="2"/>
      </rPr>
      <t>publisher</t>
    </r>
    <r>
      <rPr>
        <sz val="11"/>
        <rFont val="Segoe UI"/>
        <family val="2"/>
      </rPr>
      <t xml:space="preserve">
- the I108 Link List Item or Layer is clickable</t>
    </r>
  </si>
  <si>
    <r>
      <rPr>
        <b/>
        <sz val="11"/>
        <rFont val="Segoe UI"/>
        <family val="2"/>
      </rPr>
      <t>Validation, that</t>
    </r>
    <r>
      <rPr>
        <sz val="11"/>
        <rFont val="Segoe UI"/>
        <family val="2"/>
      </rPr>
      <t xml:space="preserve">
- a S115 with its items can be </t>
    </r>
    <r>
      <rPr>
        <b/>
        <sz val="11"/>
        <rFont val="Segoe UI"/>
        <family val="2"/>
      </rPr>
      <t>modified</t>
    </r>
    <r>
      <rPr>
        <sz val="11"/>
        <rFont val="Segoe UI"/>
        <family val="2"/>
      </rPr>
      <t xml:space="preserve"> 
- arranges a focus teaser element</t>
    </r>
  </si>
  <si>
    <r>
      <rPr>
        <b/>
        <sz val="11"/>
        <rFont val="Segoe UI"/>
        <family val="2"/>
      </rPr>
      <t>Validation, that</t>
    </r>
    <r>
      <rPr>
        <sz val="11"/>
        <rFont val="Segoe UI"/>
        <family val="2"/>
      </rPr>
      <t xml:space="preserve">
- the S115 Focus Teaser Section is displayed on the </t>
    </r>
    <r>
      <rPr>
        <b/>
        <sz val="11"/>
        <rFont val="Segoe UI"/>
        <family val="2"/>
      </rPr>
      <t>publisher</t>
    </r>
  </si>
  <si>
    <r>
      <rPr>
        <b/>
        <sz val="11"/>
        <rFont val="Segoe UI"/>
        <family val="2"/>
      </rPr>
      <t>Validation, that</t>
    </r>
    <r>
      <rPr>
        <sz val="11"/>
        <rFont val="Segoe UI"/>
        <family val="2"/>
      </rPr>
      <t xml:space="preserve">
- a S110 with its items can be </t>
    </r>
    <r>
      <rPr>
        <b/>
        <sz val="11"/>
        <rFont val="Segoe UI"/>
        <family val="2"/>
      </rPr>
      <t>modified</t>
    </r>
    <r>
      <rPr>
        <sz val="11"/>
        <rFont val="Segoe UI"/>
        <family val="2"/>
      </rPr>
      <t xml:space="preserve"> 
- arranges between 3 and 5 Editorial Teaser Elements
</t>
    </r>
  </si>
  <si>
    <r>
      <rPr>
        <b/>
        <sz val="11"/>
        <rFont val="Segoe UI"/>
        <family val="2"/>
      </rPr>
      <t>Validation, that</t>
    </r>
    <r>
      <rPr>
        <sz val="11"/>
        <rFont val="Segoe UI"/>
        <family val="2"/>
      </rPr>
      <t xml:space="preserve">
 - the S110 Highlight Teaser Section is displayed on the </t>
    </r>
    <r>
      <rPr>
        <b/>
        <sz val="11"/>
        <rFont val="Segoe UI"/>
        <family val="2"/>
      </rPr>
      <t>publisher</t>
    </r>
  </si>
  <si>
    <r>
      <rPr>
        <b/>
        <sz val="11"/>
        <rFont val="Segoe UI"/>
        <family val="2"/>
      </rPr>
      <t>Validation, that</t>
    </r>
    <r>
      <rPr>
        <sz val="11"/>
        <rFont val="Segoe UI"/>
        <family val="2"/>
      </rPr>
      <t xml:space="preserve">
- a S102 with its items can be </t>
    </r>
    <r>
      <rPr>
        <b/>
        <sz val="11"/>
        <rFont val="Segoe UI"/>
        <family val="2"/>
      </rPr>
      <t>modified</t>
    </r>
    <r>
      <rPr>
        <sz val="11"/>
        <rFont val="Segoe UI"/>
        <family val="2"/>
      </rPr>
      <t xml:space="preserve"> 
- arranges a headline and a column for items 
- Items: I101 copy item; I102 quote item;I103 statement item;I106 media single item ;I126 link list item</t>
    </r>
  </si>
  <si>
    <r>
      <rPr>
        <b/>
        <sz val="11"/>
        <rFont val="Segoe UI"/>
        <family val="2"/>
      </rPr>
      <t>Validation, that</t>
    </r>
    <r>
      <rPr>
        <sz val="11"/>
        <rFont val="Segoe UI"/>
        <family val="2"/>
      </rPr>
      <t xml:space="preserve">
 - the S102 Single Column Section is displayed on the </t>
    </r>
    <r>
      <rPr>
        <b/>
        <sz val="11"/>
        <rFont val="Segoe UI"/>
        <family val="2"/>
      </rPr>
      <t>publisher</t>
    </r>
  </si>
  <si>
    <r>
      <rPr>
        <b/>
        <sz val="11"/>
        <rFont val="Segoe UI"/>
        <family val="2"/>
      </rPr>
      <t>Validation, that</t>
    </r>
    <r>
      <rPr>
        <sz val="11"/>
        <rFont val="Segoe UI"/>
        <family val="2"/>
      </rPr>
      <t xml:space="preserve">
- a S108 with its items can be </t>
    </r>
    <r>
      <rPr>
        <b/>
        <sz val="11"/>
        <rFont val="Segoe UI"/>
        <family val="2"/>
      </rPr>
      <t>modified</t>
    </r>
    <r>
      <rPr>
        <sz val="11"/>
        <rFont val="Segoe UI"/>
        <family val="2"/>
      </rPr>
      <t xml:space="preserve"> 
- arranges 3 or 6 teaser elements 
</t>
    </r>
  </si>
  <si>
    <r>
      <rPr>
        <b/>
        <sz val="11"/>
        <rFont val="Segoe UI"/>
        <family val="2"/>
      </rPr>
      <t>Validation, that</t>
    </r>
    <r>
      <rPr>
        <sz val="11"/>
        <rFont val="Segoe UI"/>
        <family val="2"/>
      </rPr>
      <t xml:space="preserve">
- the S108 Editorial Teaser Section  is displayed on the </t>
    </r>
    <r>
      <rPr>
        <b/>
        <sz val="11"/>
        <rFont val="Segoe UI"/>
        <family val="2"/>
      </rPr>
      <t>publisher</t>
    </r>
  </si>
  <si>
    <r>
      <rPr>
        <b/>
        <sz val="11"/>
        <rFont val="Segoe UI"/>
        <family val="2"/>
      </rPr>
      <t>Validation, that</t>
    </r>
    <r>
      <rPr>
        <sz val="11"/>
        <rFont val="Segoe UI"/>
        <family val="2"/>
      </rPr>
      <t xml:space="preserve">
- a S119 with its items can be </t>
    </r>
    <r>
      <rPr>
        <b/>
        <sz val="11"/>
        <rFont val="Segoe UI"/>
        <family val="2"/>
      </rPr>
      <t>modified</t>
    </r>
    <r>
      <rPr>
        <sz val="11"/>
        <rFont val="Segoe UI"/>
        <family val="2"/>
      </rPr>
      <t xml:space="preserve">
- arranges a headline, a copy item and a CTA Button which provides a link to a newsletter signup form
</t>
    </r>
  </si>
  <si>
    <r>
      <rPr>
        <b/>
        <sz val="11"/>
        <rFont val="Segoe UI"/>
        <family val="2"/>
      </rPr>
      <t>Validation, that</t>
    </r>
    <r>
      <rPr>
        <sz val="11"/>
        <rFont val="Segoe UI"/>
        <family val="2"/>
      </rPr>
      <t xml:space="preserve">
 - the S119 Newsletter Signup Section is displayed on the </t>
    </r>
    <r>
      <rPr>
        <b/>
        <sz val="11"/>
        <rFont val="Segoe UI"/>
        <family val="2"/>
      </rPr>
      <t>publisher</t>
    </r>
  </si>
  <si>
    <r>
      <rPr>
        <b/>
        <sz val="11"/>
        <rFont val="Segoe UI"/>
        <family val="2"/>
      </rPr>
      <t>Validation, that</t>
    </r>
    <r>
      <rPr>
        <sz val="11"/>
        <rFont val="Segoe UI"/>
        <family val="2"/>
      </rPr>
      <t xml:space="preserve">
 - the S129 Power Teaser Section is displayed on the </t>
    </r>
    <r>
      <rPr>
        <b/>
        <sz val="11"/>
        <rFont val="Segoe UI"/>
        <family val="2"/>
      </rPr>
      <t>publisher</t>
    </r>
  </si>
  <si>
    <r>
      <rPr>
        <b/>
        <sz val="11"/>
        <rFont val="Segoe UI"/>
        <family val="2"/>
      </rPr>
      <t>Validation, that</t>
    </r>
    <r>
      <rPr>
        <sz val="11"/>
        <rFont val="Segoe UI"/>
        <family val="2"/>
      </rPr>
      <t xml:space="preserve">
- a S132 with its items can be </t>
    </r>
    <r>
      <rPr>
        <b/>
        <sz val="11"/>
        <rFont val="Segoe UI"/>
        <family val="2"/>
      </rPr>
      <t>modified</t>
    </r>
    <r>
      <rPr>
        <sz val="11"/>
        <rFont val="Segoe UI"/>
        <family val="2"/>
      </rPr>
      <t xml:space="preserve"> 
- arranges 3 or 6 teaser elements 
</t>
    </r>
  </si>
  <si>
    <r>
      <rPr>
        <b/>
        <sz val="11"/>
        <rFont val="Segoe UI"/>
        <family val="2"/>
      </rPr>
      <t>Validation, that</t>
    </r>
    <r>
      <rPr>
        <sz val="11"/>
        <rFont val="Segoe UI"/>
        <family val="2"/>
      </rPr>
      <t xml:space="preserve">
- the  S132 Expand Collapse Section is displayed on the </t>
    </r>
    <r>
      <rPr>
        <b/>
        <sz val="11"/>
        <rFont val="Segoe UI"/>
        <family val="2"/>
      </rPr>
      <t>publisher</t>
    </r>
    <r>
      <rPr>
        <sz val="11"/>
        <rFont val="Segoe UI"/>
        <family val="2"/>
      </rPr>
      <t xml:space="preserve">
</t>
    </r>
  </si>
  <si>
    <r>
      <rPr>
        <b/>
        <sz val="11"/>
        <rFont val="Segoe UI"/>
        <family val="2"/>
      </rPr>
      <t>Validation, that</t>
    </r>
    <r>
      <rPr>
        <sz val="11"/>
        <rFont val="Segoe UI"/>
        <family val="2"/>
      </rPr>
      <t xml:space="preserve">
- a S139 with its items can be </t>
    </r>
    <r>
      <rPr>
        <b/>
        <sz val="11"/>
        <rFont val="Segoe UI"/>
        <family val="2"/>
      </rPr>
      <t>deleted</t>
    </r>
    <r>
      <rPr>
        <sz val="11"/>
        <rFont val="Segoe UI"/>
        <family val="2"/>
      </rPr>
      <t xml:space="preserve"> 
- arranges a headline, a media element, a copy item and an two optional CTA Button
</t>
    </r>
  </si>
  <si>
    <r>
      <rPr>
        <b/>
        <sz val="11"/>
        <rFont val="Segoe UI"/>
        <family val="2"/>
      </rPr>
      <t>Validation, that</t>
    </r>
    <r>
      <rPr>
        <sz val="11"/>
        <rFont val="Segoe UI"/>
        <family val="2"/>
      </rPr>
      <t xml:space="preserve">
 - the Home Page is displayed without S139 Basic Stage Section on the </t>
    </r>
    <r>
      <rPr>
        <b/>
        <sz val="11"/>
        <rFont val="Segoe UI"/>
        <family val="2"/>
      </rPr>
      <t>publisher</t>
    </r>
  </si>
  <si>
    <r>
      <t xml:space="preserve">S139 Fullscreen Stage Section
</t>
    </r>
    <r>
      <rPr>
        <sz val="11"/>
        <rFont val="Segoe UI"/>
        <family val="2"/>
      </rPr>
      <t>Item: Heading 
Item: Image
Item: I101Copy Item
Item: CTA Button with Link or Layer
Item: CTA Button with Link or Layer</t>
    </r>
  </si>
  <si>
    <r>
      <rPr>
        <b/>
        <sz val="11"/>
        <rFont val="Segoe UI"/>
        <family val="2"/>
      </rPr>
      <t>Validation, that</t>
    </r>
    <r>
      <rPr>
        <sz val="11"/>
        <rFont val="Segoe UI"/>
        <family val="2"/>
      </rPr>
      <t xml:space="preserve">
- a S113 with its items can be </t>
    </r>
    <r>
      <rPr>
        <b/>
        <sz val="11"/>
        <rFont val="Segoe UI"/>
        <family val="2"/>
      </rPr>
      <t>deleted</t>
    </r>
    <r>
      <rPr>
        <sz val="11"/>
        <rFont val="Segoe UI"/>
        <family val="2"/>
      </rPr>
      <t xml:space="preserve"> 
- arranges a headline and between 2 and 4 Editorial Teaser Elements
</t>
    </r>
  </si>
  <si>
    <r>
      <rPr>
        <b/>
        <sz val="11"/>
        <rFont val="Segoe UI"/>
        <family val="2"/>
      </rPr>
      <t>Validation, that</t>
    </r>
    <r>
      <rPr>
        <sz val="11"/>
        <rFont val="Segoe UI"/>
        <family val="2"/>
      </rPr>
      <t xml:space="preserve">
</t>
    </r>
    <r>
      <rPr>
        <strike/>
        <sz val="11"/>
        <rFont val="Segoe UI"/>
        <family val="2"/>
      </rPr>
      <t>-</t>
    </r>
    <r>
      <rPr>
        <sz val="11"/>
        <rFont val="Segoe UI"/>
        <family val="2"/>
      </rPr>
      <t xml:space="preserve"> the Home Page is displayed without S113  First Level Teaser on the </t>
    </r>
    <r>
      <rPr>
        <b/>
        <sz val="11"/>
        <rFont val="Segoe UI"/>
        <family val="2"/>
      </rPr>
      <t>publisher</t>
    </r>
  </si>
  <si>
    <r>
      <rPr>
        <b/>
        <sz val="11"/>
        <rFont val="Segoe UI"/>
        <family val="2"/>
      </rPr>
      <t>Validation, that</t>
    </r>
    <r>
      <rPr>
        <sz val="11"/>
        <rFont val="Segoe UI"/>
        <family val="2"/>
      </rPr>
      <t xml:space="preserve">
- a S116 with its items can be </t>
    </r>
    <r>
      <rPr>
        <b/>
        <sz val="11"/>
        <rFont val="Segoe UI"/>
        <family val="2"/>
      </rPr>
      <t>deleted</t>
    </r>
    <r>
      <rPr>
        <sz val="11"/>
        <rFont val="Segoe UI"/>
        <family val="2"/>
      </rPr>
      <t xml:space="preserve"> 
- arranges a headline and several sections
</t>
    </r>
  </si>
  <si>
    <r>
      <rPr>
        <b/>
        <sz val="11"/>
        <rFont val="Segoe UI"/>
        <family val="2"/>
      </rPr>
      <t>Validation, that</t>
    </r>
    <r>
      <rPr>
        <sz val="11"/>
        <rFont val="Segoe UI"/>
        <family val="2"/>
      </rPr>
      <t xml:space="preserve">
 - the Home Page is displayed without S116 Section Group on the </t>
    </r>
    <r>
      <rPr>
        <b/>
        <sz val="11"/>
        <rFont val="Segoe UI"/>
        <family val="2"/>
      </rPr>
      <t>publisher</t>
    </r>
  </si>
  <si>
    <r>
      <rPr>
        <b/>
        <sz val="11"/>
        <rFont val="Segoe UI"/>
        <family val="2"/>
      </rPr>
      <t>Validation, that</t>
    </r>
    <r>
      <rPr>
        <sz val="11"/>
        <rFont val="Segoe UI"/>
        <family val="2"/>
      </rPr>
      <t xml:space="preserve">
- a S115 with its items can be </t>
    </r>
    <r>
      <rPr>
        <b/>
        <sz val="11"/>
        <rFont val="Segoe UI"/>
        <family val="2"/>
      </rPr>
      <t>deleted</t>
    </r>
    <r>
      <rPr>
        <sz val="11"/>
        <rFont val="Segoe UI"/>
        <family val="2"/>
      </rPr>
      <t xml:space="preserve"> 
- arranges a focus teaser element</t>
    </r>
  </si>
  <si>
    <r>
      <rPr>
        <b/>
        <sz val="11"/>
        <rFont val="Segoe UI"/>
        <family val="2"/>
      </rPr>
      <t>Validation, that</t>
    </r>
    <r>
      <rPr>
        <sz val="11"/>
        <rFont val="Segoe UI"/>
        <family val="2"/>
      </rPr>
      <t xml:space="preserve">
- the Home Page is displayed without S115 Focus Teaser Section on the </t>
    </r>
    <r>
      <rPr>
        <b/>
        <sz val="11"/>
        <rFont val="Segoe UI"/>
        <family val="2"/>
      </rPr>
      <t>publisher</t>
    </r>
  </si>
  <si>
    <r>
      <rPr>
        <b/>
        <sz val="11"/>
        <rFont val="Segoe UI"/>
        <family val="2"/>
      </rPr>
      <t>Validation, that</t>
    </r>
    <r>
      <rPr>
        <sz val="11"/>
        <rFont val="Segoe UI"/>
        <family val="2"/>
      </rPr>
      <t xml:space="preserve">
- a S110 with its items can be </t>
    </r>
    <r>
      <rPr>
        <b/>
        <sz val="11"/>
        <rFont val="Segoe UI"/>
        <family val="2"/>
      </rPr>
      <t>deleted</t>
    </r>
    <r>
      <rPr>
        <sz val="11"/>
        <rFont val="Segoe UI"/>
        <family val="2"/>
      </rPr>
      <t xml:space="preserve"> 
- arranges between 3 and 5 Editorial Teaser Elements
</t>
    </r>
  </si>
  <si>
    <r>
      <rPr>
        <b/>
        <sz val="11"/>
        <rFont val="Segoe UI"/>
        <family val="2"/>
      </rPr>
      <t>Validation, that</t>
    </r>
    <r>
      <rPr>
        <sz val="11"/>
        <rFont val="Segoe UI"/>
        <family val="2"/>
      </rPr>
      <t xml:space="preserve">
- the Home Page is displayed without S110 Highlight Teaser Section on the </t>
    </r>
    <r>
      <rPr>
        <b/>
        <sz val="11"/>
        <rFont val="Segoe UI"/>
        <family val="2"/>
      </rPr>
      <t>publisher</t>
    </r>
  </si>
  <si>
    <r>
      <rPr>
        <b/>
        <sz val="11"/>
        <rFont val="Segoe UI"/>
        <family val="2"/>
      </rPr>
      <t>Validation, that</t>
    </r>
    <r>
      <rPr>
        <sz val="11"/>
        <rFont val="Segoe UI"/>
        <family val="2"/>
      </rPr>
      <t xml:space="preserve">
- a S102 with its items can be </t>
    </r>
    <r>
      <rPr>
        <b/>
        <sz val="11"/>
        <rFont val="Segoe UI"/>
        <family val="2"/>
      </rPr>
      <t>deleted</t>
    </r>
    <r>
      <rPr>
        <sz val="11"/>
        <rFont val="Segoe UI"/>
        <family val="2"/>
      </rPr>
      <t xml:space="preserve"> 
- arranges a headline and a column for items 
- Items: I101 copy item; I102 quote item;I103 statement item;I106 media single item ;I126 link list item
</t>
    </r>
  </si>
  <si>
    <r>
      <rPr>
        <b/>
        <sz val="11"/>
        <rFont val="Segoe UI"/>
        <family val="2"/>
      </rPr>
      <t>Validation, that</t>
    </r>
    <r>
      <rPr>
        <sz val="11"/>
        <rFont val="Segoe UI"/>
        <family val="2"/>
      </rPr>
      <t xml:space="preserve">
- the Home Page is displayed without S102 Single Column Section on the </t>
    </r>
    <r>
      <rPr>
        <b/>
        <sz val="11"/>
        <rFont val="Segoe UI"/>
        <family val="2"/>
      </rPr>
      <t>publisher</t>
    </r>
  </si>
  <si>
    <r>
      <rPr>
        <b/>
        <sz val="11"/>
        <rFont val="Segoe UI"/>
        <family val="2"/>
      </rPr>
      <t>Validation, that</t>
    </r>
    <r>
      <rPr>
        <sz val="11"/>
        <rFont val="Segoe UI"/>
        <family val="2"/>
      </rPr>
      <t xml:space="preserve">
- a S108 with its items can be </t>
    </r>
    <r>
      <rPr>
        <b/>
        <sz val="11"/>
        <rFont val="Segoe UI"/>
        <family val="2"/>
      </rPr>
      <t>deleted</t>
    </r>
    <r>
      <rPr>
        <sz val="11"/>
        <rFont val="Segoe UI"/>
        <family val="2"/>
      </rPr>
      <t xml:space="preserve"> 
- arranges 3 or 6 teaser elements 
</t>
    </r>
  </si>
  <si>
    <r>
      <rPr>
        <b/>
        <sz val="11"/>
        <rFont val="Segoe UI"/>
        <family val="2"/>
      </rPr>
      <t>Validation, that</t>
    </r>
    <r>
      <rPr>
        <sz val="11"/>
        <rFont val="Segoe UI"/>
        <family val="2"/>
      </rPr>
      <t xml:space="preserve">
- the Home Page is displayed without S108 Editorial Teaser Section on the </t>
    </r>
    <r>
      <rPr>
        <b/>
        <sz val="11"/>
        <rFont val="Segoe UI"/>
        <family val="2"/>
      </rPr>
      <t>publisher</t>
    </r>
  </si>
  <si>
    <r>
      <rPr>
        <b/>
        <sz val="11"/>
        <rFont val="Segoe UI"/>
        <family val="2"/>
      </rPr>
      <t>Validation, that</t>
    </r>
    <r>
      <rPr>
        <sz val="11"/>
        <rFont val="Segoe UI"/>
        <family val="2"/>
      </rPr>
      <t xml:space="preserve">
- a S119 with its items can be </t>
    </r>
    <r>
      <rPr>
        <b/>
        <sz val="11"/>
        <rFont val="Segoe UI"/>
        <family val="2"/>
      </rPr>
      <t>deleted</t>
    </r>
    <r>
      <rPr>
        <sz val="11"/>
        <rFont val="Segoe UI"/>
        <family val="2"/>
      </rPr>
      <t xml:space="preserve">
- arranges a headline, a copy item and a CTA Button which provides a link to a newsletter signup form</t>
    </r>
  </si>
  <si>
    <r>
      <rPr>
        <b/>
        <sz val="11"/>
        <rFont val="Segoe UI"/>
        <family val="2"/>
      </rPr>
      <t>Validation, that</t>
    </r>
    <r>
      <rPr>
        <sz val="11"/>
        <rFont val="Segoe UI"/>
        <family val="2"/>
      </rPr>
      <t xml:space="preserve">
- the Home Page is displayed without S119 Newsletter Signup Section on the </t>
    </r>
    <r>
      <rPr>
        <b/>
        <sz val="11"/>
        <rFont val="Segoe UI"/>
        <family val="2"/>
      </rPr>
      <t>publisher</t>
    </r>
  </si>
  <si>
    <r>
      <rPr>
        <b/>
        <sz val="11"/>
        <rFont val="Segoe UI"/>
        <family val="2"/>
      </rPr>
      <t>Validation, that</t>
    </r>
    <r>
      <rPr>
        <sz val="11"/>
        <rFont val="Segoe UI"/>
        <family val="2"/>
      </rPr>
      <t xml:space="preserve">
- the Home Page is displayed without S129 Power Teaser Section on the </t>
    </r>
    <r>
      <rPr>
        <b/>
        <sz val="11"/>
        <rFont val="Segoe UI"/>
        <family val="2"/>
      </rPr>
      <t>publisher</t>
    </r>
  </si>
  <si>
    <r>
      <rPr>
        <b/>
        <sz val="11"/>
        <rFont val="Segoe UI"/>
        <family val="2"/>
      </rPr>
      <t>Validation, that</t>
    </r>
    <r>
      <rPr>
        <sz val="11"/>
        <rFont val="Segoe UI"/>
        <family val="2"/>
      </rPr>
      <t xml:space="preserve">
- the Home Page is displayed without S132 Power Teaser Section on the </t>
    </r>
    <r>
      <rPr>
        <b/>
        <sz val="11"/>
        <rFont val="Segoe UI"/>
        <family val="2"/>
      </rPr>
      <t>publisher</t>
    </r>
  </si>
  <si>
    <r>
      <rPr>
        <b/>
        <sz val="11"/>
        <rFont val="Segoe UI"/>
        <family val="2"/>
      </rPr>
      <t>Validation, that</t>
    </r>
    <r>
      <rPr>
        <sz val="11"/>
        <rFont val="Segoe UI"/>
        <family val="2"/>
      </rPr>
      <t xml:space="preserve">
- all elements are reachable via keyboard
- every element is read out by a screenreader</t>
    </r>
  </si>
  <si>
    <t>iPhone 16 iOs v. 26
 Safari/Mobile</t>
  </si>
  <si>
    <t>iPad iOs v. 26
Safari/Tablet</t>
  </si>
  <si>
    <t>Tablet 
Android v. Chrome v. 77
 Chrome/Tablet</t>
  </si>
  <si>
    <t>Samsung Galaxy 8
Android Chrome v. 77
 Chrome/Mobile</t>
  </si>
  <si>
    <t>Samsung Galaxy 8
Android v. IE v. 10.1.00.27
 Chrome/Mobile</t>
  </si>
  <si>
    <t>Chrome v. 84
 Chrome/Desktop</t>
  </si>
  <si>
    <t>Microsoft Edge v. 44
Chrome/ Desktop</t>
  </si>
  <si>
    <t>MacBook 
Safari v. 12.1.2</t>
  </si>
  <si>
    <r>
      <rPr>
        <b/>
        <sz val="11"/>
        <rFont val="Segoe UI"/>
        <family val="2"/>
      </rPr>
      <t xml:space="preserve">Validation, that
</t>
    </r>
    <r>
      <rPr>
        <sz val="11"/>
        <rFont val="Segoe UI"/>
        <family val="2"/>
      </rPr>
      <t>- Car Technical Data Feature app can be opened with CTA
- in Publish text in data tiles is not cut-off when exceeding three lines</t>
    </r>
  </si>
  <si>
    <r>
      <rPr>
        <b/>
        <sz val="11"/>
        <rFont val="Segoe UI"/>
        <family val="2"/>
      </rPr>
      <t xml:space="preserve">Validation, that
</t>
    </r>
    <r>
      <rPr>
        <sz val="11"/>
        <rFont val="Segoe UI"/>
        <family val="2"/>
      </rPr>
      <t xml:space="preserve">- a S128 with primary, secondary and text link can be </t>
    </r>
    <r>
      <rPr>
        <b/>
        <sz val="11"/>
        <rFont val="Segoe UI"/>
        <family val="2"/>
      </rPr>
      <t>created</t>
    </r>
    <r>
      <rPr>
        <sz val="11"/>
        <rFont val="Segoe UI"/>
        <family val="2"/>
      </rPr>
      <t xml:space="preserve">
- Buttons are positioned horizontal/vertical
- is saved</t>
    </r>
  </si>
  <si>
    <r>
      <t xml:space="preserve">S128 Car Technical Data Section
</t>
    </r>
    <r>
      <rPr>
        <sz val="11"/>
        <rFont val="Segoe UI"/>
        <family val="2"/>
      </rPr>
      <t xml:space="preserve">Item: Primary Button
Item: Second Button
Item: Text Link
</t>
    </r>
  </si>
  <si>
    <r>
      <rPr>
        <b/>
        <sz val="11"/>
        <rFont val="Segoe UI"/>
        <family val="2"/>
      </rPr>
      <t>Validation, that</t>
    </r>
    <r>
      <rPr>
        <sz val="11"/>
        <rFont val="Segoe UI"/>
        <family val="2"/>
      </rPr>
      <t xml:space="preserve">
- a S101 with its items can be </t>
    </r>
    <r>
      <rPr>
        <b/>
        <sz val="11"/>
        <rFont val="Segoe UI"/>
        <family val="2"/>
      </rPr>
      <t>created</t>
    </r>
    <r>
      <rPr>
        <sz val="11"/>
        <rFont val="Segoe UI"/>
        <family val="2"/>
      </rPr>
      <t xml:space="preserve"> 
- arranges a headline with a copy item
- is saved</t>
    </r>
  </si>
  <si>
    <r>
      <rPr>
        <b/>
        <sz val="11"/>
        <rFont val="Segoe UI"/>
        <family val="2"/>
      </rPr>
      <t>Validation, that</t>
    </r>
    <r>
      <rPr>
        <sz val="11"/>
        <rFont val="Segoe UI"/>
        <family val="2"/>
      </rPr>
      <t xml:space="preserve">
- a S116 with its items can be </t>
    </r>
    <r>
      <rPr>
        <b/>
        <sz val="11"/>
        <rFont val="Segoe UI"/>
        <family val="2"/>
      </rPr>
      <t>created</t>
    </r>
    <r>
      <rPr>
        <sz val="11"/>
        <rFont val="Segoe UI"/>
        <family val="2"/>
      </rPr>
      <t xml:space="preserve"> 
- arranges a headline and several sections
- is saved</t>
    </r>
  </si>
  <si>
    <r>
      <rPr>
        <b/>
        <sz val="11"/>
        <rFont val="Segoe UI"/>
        <family val="2"/>
      </rPr>
      <t>Validation, that</t>
    </r>
    <r>
      <rPr>
        <sz val="11"/>
        <rFont val="Segoe UI"/>
        <family val="2"/>
      </rPr>
      <t xml:space="preserve">
- a S102 with its items can be </t>
    </r>
    <r>
      <rPr>
        <b/>
        <sz val="11"/>
        <rFont val="Segoe UI"/>
        <family val="2"/>
      </rPr>
      <t>created</t>
    </r>
    <r>
      <rPr>
        <sz val="11"/>
        <rFont val="Segoe UI"/>
        <family val="2"/>
      </rPr>
      <t xml:space="preserve"> 
- arranges 2 Colums for items 
- Items: I101 copy item; I102 quote item;I103 statement item;I106 media single item; I126 link list item
- is saved</t>
    </r>
  </si>
  <si>
    <r>
      <rPr>
        <b/>
        <sz val="11"/>
        <rFont val="Segoe UI"/>
        <family val="2"/>
      </rPr>
      <t>Validation, that</t>
    </r>
    <r>
      <rPr>
        <sz val="11"/>
        <rFont val="Segoe UI"/>
        <family val="2"/>
      </rPr>
      <t xml:space="preserve">
- a S125 with its items can be </t>
    </r>
    <r>
      <rPr>
        <b/>
        <sz val="11"/>
        <rFont val="Segoe UI"/>
        <family val="2"/>
      </rPr>
      <t>created</t>
    </r>
    <r>
      <rPr>
        <sz val="11"/>
        <rFont val="Segoe UI"/>
        <family val="2"/>
      </rPr>
      <t xml:space="preserve">
- consists of two modules: highlight accordion module and highlight media gallery module
- highlight accordion module arranges two base elements: a headline copy(heading element and copy item) and a label(Richtext Simple Element)
-  media gallery module arranges a collection of up to 5 media elements
- is saved</t>
    </r>
  </si>
  <si>
    <r>
      <t xml:space="preserve">Validation, that
</t>
    </r>
    <r>
      <rPr>
        <sz val="11"/>
        <rFont val="Segoe UI"/>
        <family val="2"/>
      </rPr>
      <t xml:space="preserve">- a S122 with its items can be created
- arranges upcoming feature apps
- is saved
</t>
    </r>
  </si>
  <si>
    <r>
      <t xml:space="preserve">S122 Feature App Section
</t>
    </r>
    <r>
      <rPr>
        <sz val="11"/>
        <rFont val="Segoe UI"/>
        <family val="2"/>
      </rPr>
      <t>Feature App: Configure</t>
    </r>
  </si>
  <si>
    <r>
      <rPr>
        <b/>
        <sz val="11"/>
        <rFont val="Segoe UI"/>
        <family val="2"/>
      </rPr>
      <t>Validation, that</t>
    </r>
    <r>
      <rPr>
        <sz val="11"/>
        <rFont val="Segoe UI"/>
        <family val="2"/>
      </rPr>
      <t xml:space="preserve">
- a S105 with its items can be </t>
    </r>
    <r>
      <rPr>
        <b/>
        <sz val="11"/>
        <rFont val="Segoe UI"/>
        <family val="2"/>
      </rPr>
      <t>created</t>
    </r>
    <r>
      <rPr>
        <sz val="11"/>
        <rFont val="Segoe UI"/>
        <family val="2"/>
      </rPr>
      <t xml:space="preserve"> 
- arranges a headline and up to 5 media elements
- is saved</t>
    </r>
  </si>
  <si>
    <r>
      <rPr>
        <b/>
        <sz val="11"/>
        <rFont val="Segoe UI"/>
        <family val="2"/>
      </rPr>
      <t>Validation, that</t>
    </r>
    <r>
      <rPr>
        <sz val="11"/>
        <rFont val="Segoe UI"/>
        <family val="2"/>
      </rPr>
      <t xml:space="preserve">
- a S110 with its items can be </t>
    </r>
    <r>
      <rPr>
        <b/>
        <sz val="11"/>
        <rFont val="Segoe UI"/>
        <family val="2"/>
      </rPr>
      <t>created</t>
    </r>
    <r>
      <rPr>
        <sz val="11"/>
        <rFont val="Segoe UI"/>
        <family val="2"/>
      </rPr>
      <t xml:space="preserve"> 
- arranges between 3 and 5 Editorial Teaser Elements
- is saved</t>
    </r>
  </si>
  <si>
    <r>
      <rPr>
        <b/>
        <sz val="11"/>
        <rFont val="Segoe UI"/>
        <family val="2"/>
      </rPr>
      <t>Validation, that</t>
    </r>
    <r>
      <rPr>
        <sz val="11"/>
        <rFont val="Segoe UI"/>
        <family val="2"/>
      </rPr>
      <t xml:space="preserve">
- a S127 with its items can be </t>
    </r>
    <r>
      <rPr>
        <b/>
        <sz val="11"/>
        <rFont val="Segoe UI"/>
        <family val="2"/>
      </rPr>
      <t>created</t>
    </r>
    <r>
      <rPr>
        <sz val="11"/>
        <rFont val="Segoe UI"/>
        <family val="2"/>
      </rPr>
      <t xml:space="preserve">
- is a content component for showrooms
- shows a list of Car Feature Categories and display each category with a list of links to Car Features or Content Layers, that will be opened as layers
- is saved</t>
    </r>
  </si>
  <si>
    <r>
      <t xml:space="preserve">S137 Content Slider
</t>
    </r>
    <r>
      <rPr>
        <sz val="11"/>
        <rFont val="Segoe UI"/>
        <family val="2"/>
      </rPr>
      <t xml:space="preserve">Item: Headline
Item: Copy text
Content Slider with Category
</t>
    </r>
  </si>
  <si>
    <r>
      <rPr>
        <b/>
        <sz val="11"/>
        <rFont val="Segoe UI"/>
        <family val="2"/>
      </rPr>
      <t>Validation, that</t>
    </r>
    <r>
      <rPr>
        <sz val="11"/>
        <rFont val="Segoe UI"/>
        <family val="2"/>
      </rPr>
      <t xml:space="preserve">
- a S114 with its items can be </t>
    </r>
    <r>
      <rPr>
        <b/>
        <sz val="11"/>
        <rFont val="Segoe UI"/>
        <family val="2"/>
      </rPr>
      <t>modified</t>
    </r>
    <r>
      <rPr>
        <sz val="11"/>
        <rFont val="Segoe UI"/>
        <family val="2"/>
      </rPr>
      <t xml:space="preserve"> 
- arranges a 180 Degree Animation that takes proportions of entire screen and a headline
</t>
    </r>
  </si>
  <si>
    <r>
      <rPr>
        <b/>
        <sz val="11"/>
        <rFont val="Segoe UI"/>
        <family val="2"/>
      </rPr>
      <t>Validation, that</t>
    </r>
    <r>
      <rPr>
        <sz val="11"/>
        <rFont val="Segoe UI"/>
        <family val="2"/>
      </rPr>
      <t xml:space="preserve">
 - the S114 Product Experience Stage Section is displayed on the </t>
    </r>
    <r>
      <rPr>
        <b/>
        <sz val="11"/>
        <rFont val="Segoe UI"/>
        <family val="2"/>
      </rPr>
      <t>publisher</t>
    </r>
  </si>
  <si>
    <r>
      <rPr>
        <b/>
        <sz val="11"/>
        <rFont val="Segoe UI"/>
        <family val="2"/>
      </rPr>
      <t>Validation, that</t>
    </r>
    <r>
      <rPr>
        <sz val="11"/>
        <rFont val="Segoe UI"/>
        <family val="2"/>
      </rPr>
      <t xml:space="preserve">
- a S128 with its items can be </t>
    </r>
    <r>
      <rPr>
        <b/>
        <sz val="11"/>
        <rFont val="Segoe UI"/>
        <family val="2"/>
      </rPr>
      <t>modified</t>
    </r>
    <r>
      <rPr>
        <sz val="11"/>
        <rFont val="Segoe UI"/>
        <family val="2"/>
      </rPr>
      <t xml:space="preserve">
- is a content component for showrooms
- shows a list of up to 10 key technical facts about the car / salegroup / carline</t>
    </r>
  </si>
  <si>
    <r>
      <rPr>
        <b/>
        <sz val="11"/>
        <rFont val="Segoe UI"/>
        <family val="2"/>
      </rPr>
      <t>Validation, that</t>
    </r>
    <r>
      <rPr>
        <sz val="11"/>
        <rFont val="Segoe UI"/>
        <family val="2"/>
      </rPr>
      <t xml:space="preserve">
 - the S128 Car Technical Data Section is displayed on the </t>
    </r>
    <r>
      <rPr>
        <b/>
        <sz val="11"/>
        <rFont val="Segoe UI"/>
        <family val="2"/>
      </rPr>
      <t>publisher</t>
    </r>
  </si>
  <si>
    <r>
      <rPr>
        <b/>
        <sz val="11"/>
        <rFont val="Segoe UI"/>
        <family val="2"/>
      </rPr>
      <t>Validation, that</t>
    </r>
    <r>
      <rPr>
        <sz val="11"/>
        <rFont val="Segoe UI"/>
        <family val="2"/>
      </rPr>
      <t xml:space="preserve">
 - S108 Editorial Teaser Section is displayed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</si>
  <si>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S101 with its items can be </t>
    </r>
    <r>
      <rPr>
        <b/>
        <sz val="11"/>
        <rFont val="Segoe UI"/>
        <family val="2"/>
      </rPr>
      <t>modified</t>
    </r>
    <r>
      <rPr>
        <sz val="11"/>
        <rFont val="Segoe UI"/>
        <family val="2"/>
      </rPr>
      <t xml:space="preserve"> 
- arranges a headline with a copy item</t>
    </r>
  </si>
  <si>
    <r>
      <t xml:space="preserve">Validation, that
- the S101 Heading Section is displayed on the </t>
    </r>
    <r>
      <rPr>
        <b/>
        <sz val="11"/>
        <rFont val="Segoe UI"/>
        <family val="2"/>
      </rPr>
      <t>publisher</t>
    </r>
  </si>
  <si>
    <r>
      <t xml:space="preserve">Validation, that
- a S116 with its items can be </t>
    </r>
    <r>
      <rPr>
        <b/>
        <sz val="11"/>
        <rFont val="Segoe UI"/>
        <family val="2"/>
      </rPr>
      <t>modified</t>
    </r>
    <r>
      <rPr>
        <sz val="11"/>
        <rFont val="Segoe UI"/>
        <family val="2"/>
      </rPr>
      <t xml:space="preserve"> 
- arranges a headline and several sections
</t>
    </r>
  </si>
  <si>
    <r>
      <t xml:space="preserve">Validation, that
- the S116 Section Group is displayed on the </t>
    </r>
    <r>
      <rPr>
        <b/>
        <sz val="11"/>
        <rFont val="Segoe UI"/>
        <family val="2"/>
      </rPr>
      <t>publisher</t>
    </r>
  </si>
  <si>
    <r>
      <rPr>
        <b/>
        <sz val="11"/>
        <rFont val="Segoe UI"/>
        <family val="2"/>
      </rPr>
      <t>Validation, that</t>
    </r>
    <r>
      <rPr>
        <sz val="11"/>
        <rFont val="Segoe UI"/>
        <family val="2"/>
      </rPr>
      <t xml:space="preserve">
- a S102 with its items can be </t>
    </r>
    <r>
      <rPr>
        <b/>
        <sz val="11"/>
        <rFont val="Segoe UI"/>
        <family val="2"/>
      </rPr>
      <t>modified</t>
    </r>
    <r>
      <rPr>
        <sz val="11"/>
        <rFont val="Segoe UI"/>
        <family val="2"/>
      </rPr>
      <t xml:space="preserve"> 
- arranges 2 Colums for items 
- Items: I101 copy item; I102 quote item;I103 statement item;I106 media single item ;I126 link list item
</t>
    </r>
  </si>
  <si>
    <r>
      <rPr>
        <b/>
        <sz val="11"/>
        <rFont val="Segoe UI"/>
        <family val="2"/>
      </rPr>
      <t>Validation, that</t>
    </r>
    <r>
      <rPr>
        <sz val="11"/>
        <rFont val="Segoe UI"/>
        <family val="2"/>
      </rPr>
      <t xml:space="preserve">
- the  S102 Two Columns Section is displayed on the </t>
    </r>
    <r>
      <rPr>
        <b/>
        <sz val="11"/>
        <rFont val="Segoe UI"/>
        <family val="2"/>
      </rPr>
      <t>publisher</t>
    </r>
  </si>
  <si>
    <r>
      <rPr>
        <b/>
        <sz val="11"/>
        <rFont val="Segoe UI"/>
        <family val="2"/>
      </rPr>
      <t>Validation, that</t>
    </r>
    <r>
      <rPr>
        <sz val="11"/>
        <rFont val="Segoe UI"/>
        <family val="2"/>
      </rPr>
      <t xml:space="preserve">
- a S125 with its items can be </t>
    </r>
    <r>
      <rPr>
        <b/>
        <sz val="11"/>
        <rFont val="Segoe UI"/>
        <family val="2"/>
      </rPr>
      <t>modified</t>
    </r>
    <r>
      <rPr>
        <sz val="11"/>
        <rFont val="Segoe UI"/>
        <family val="2"/>
      </rPr>
      <t xml:space="preserve">
- consists of two modules: highlight accordion module and highlight media gallery module
- highlight accordion module arranges two base elements: a headline copy(heading element and copy item) and a label(Richtext Simple Element)
-  media gallery module arranges a collection of up to 5 media elements</t>
    </r>
  </si>
  <si>
    <r>
      <rPr>
        <b/>
        <sz val="11"/>
        <rFont val="Segoe UI"/>
        <family val="2"/>
      </rPr>
      <t>Validation, that</t>
    </r>
    <r>
      <rPr>
        <sz val="11"/>
        <rFont val="Segoe UI"/>
        <family val="2"/>
      </rPr>
      <t xml:space="preserve">
- the S125 Highlight Feature Section is displayed on the </t>
    </r>
    <r>
      <rPr>
        <b/>
        <sz val="11"/>
        <rFont val="Segoe UI"/>
        <family val="2"/>
      </rPr>
      <t>publisher</t>
    </r>
  </si>
  <si>
    <r>
      <rPr>
        <b/>
        <sz val="11"/>
        <rFont val="Segoe UI"/>
        <family val="2"/>
      </rPr>
      <t>Validation, that</t>
    </r>
    <r>
      <rPr>
        <sz val="11"/>
        <rFont val="Segoe UI"/>
        <family val="2"/>
      </rPr>
      <t xml:space="preserve">
- a S122 with its items can be </t>
    </r>
    <r>
      <rPr>
        <b/>
        <sz val="11"/>
        <rFont val="Segoe UI"/>
        <family val="2"/>
      </rPr>
      <t>modified</t>
    </r>
    <r>
      <rPr>
        <sz val="11"/>
        <rFont val="Segoe UI"/>
        <family val="2"/>
      </rPr>
      <t xml:space="preserve">
- arranges upcoming feature apps</t>
    </r>
  </si>
  <si>
    <r>
      <rPr>
        <b/>
        <sz val="11"/>
        <rFont val="Segoe UI"/>
        <family val="2"/>
      </rPr>
      <t>Validation, that</t>
    </r>
    <r>
      <rPr>
        <sz val="11"/>
        <rFont val="Segoe UI"/>
        <family val="2"/>
      </rPr>
      <t xml:space="preserve">
- the S122 Feature App Section is displayed on the </t>
    </r>
    <r>
      <rPr>
        <b/>
        <sz val="11"/>
        <rFont val="Segoe UI"/>
        <family val="2"/>
      </rPr>
      <t>publisher</t>
    </r>
  </si>
  <si>
    <r>
      <rPr>
        <b/>
        <sz val="11"/>
        <rFont val="Segoe UI"/>
        <family val="2"/>
      </rPr>
      <t>Validation, that</t>
    </r>
    <r>
      <rPr>
        <sz val="11"/>
        <rFont val="Segoe UI"/>
        <family val="2"/>
      </rPr>
      <t xml:space="preserve">
- a S105 with its items can be </t>
    </r>
    <r>
      <rPr>
        <b/>
        <sz val="11"/>
        <rFont val="Segoe UI"/>
        <family val="2"/>
      </rPr>
      <t>modified</t>
    </r>
    <r>
      <rPr>
        <sz val="11"/>
        <rFont val="Segoe UI"/>
        <family val="2"/>
      </rPr>
      <t xml:space="preserve"> 
- arranges a headline and up to 5 media elements
</t>
    </r>
  </si>
  <si>
    <r>
      <rPr>
        <b/>
        <sz val="11"/>
        <rFont val="Segoe UI"/>
        <family val="2"/>
      </rPr>
      <t>Validation, that</t>
    </r>
    <r>
      <rPr>
        <sz val="11"/>
        <rFont val="Segoe UI"/>
        <family val="2"/>
      </rPr>
      <t xml:space="preserve">
- the S105 Mood Gallery Section is displayed on the </t>
    </r>
    <r>
      <rPr>
        <b/>
        <sz val="11"/>
        <rFont val="Segoe UI"/>
        <family val="2"/>
      </rPr>
      <t>publisher</t>
    </r>
  </si>
  <si>
    <r>
      <rPr>
        <b/>
        <sz val="11"/>
        <rFont val="Segoe UI"/>
        <family val="2"/>
      </rPr>
      <t>Validation, that</t>
    </r>
    <r>
      <rPr>
        <sz val="11"/>
        <rFont val="Segoe UI"/>
        <family val="2"/>
      </rPr>
      <t xml:space="preserve">
- the S110 Highlight Teaser Section is displayed on the </t>
    </r>
    <r>
      <rPr>
        <b/>
        <sz val="11"/>
        <rFont val="Segoe UI"/>
        <family val="2"/>
      </rPr>
      <t>publisher</t>
    </r>
  </si>
  <si>
    <r>
      <rPr>
        <b/>
        <sz val="11"/>
        <rFont val="Segoe UI"/>
        <family val="2"/>
      </rPr>
      <t>Validation, that</t>
    </r>
    <r>
      <rPr>
        <sz val="11"/>
        <rFont val="Segoe UI"/>
        <family val="2"/>
      </rPr>
      <t xml:space="preserve">
- a S127 with its items can be </t>
    </r>
    <r>
      <rPr>
        <b/>
        <sz val="11"/>
        <rFont val="Segoe UI"/>
        <family val="2"/>
      </rPr>
      <t>modified</t>
    </r>
    <r>
      <rPr>
        <sz val="11"/>
        <rFont val="Segoe UI"/>
        <family val="2"/>
      </rPr>
      <t xml:space="preserve">
- is a content component for showrooms
- shows a list of Car Feature Categories and display each category with a list of links to Car Features or Content Layers, that will be opened as layers</t>
    </r>
  </si>
  <si>
    <r>
      <rPr>
        <b/>
        <sz val="11"/>
        <rFont val="Segoe UI"/>
        <family val="2"/>
      </rPr>
      <t>Validation, that</t>
    </r>
    <r>
      <rPr>
        <sz val="11"/>
        <rFont val="Segoe UI"/>
        <family val="2"/>
      </rPr>
      <t xml:space="preserve">
- the S127 Feature Cluster Section is displayed on the </t>
    </r>
    <r>
      <rPr>
        <b/>
        <sz val="11"/>
        <rFont val="Segoe UI"/>
        <family val="2"/>
      </rPr>
      <t>publisher</t>
    </r>
  </si>
  <si>
    <r>
      <rPr>
        <b/>
        <sz val="11"/>
        <rFont val="Segoe UI"/>
        <family val="2"/>
      </rPr>
      <t>Validation, that</t>
    </r>
    <r>
      <rPr>
        <sz val="11"/>
        <rFont val="Segoe UI"/>
        <family val="2"/>
      </rPr>
      <t xml:space="preserve">
- a S130 with its items can be </t>
    </r>
    <r>
      <rPr>
        <b/>
        <sz val="11"/>
        <rFont val="Segoe UI"/>
        <family val="2"/>
      </rPr>
      <t>modified</t>
    </r>
    <r>
      <rPr>
        <sz val="11"/>
        <rFont val="Segoe UI"/>
        <family val="2"/>
      </rPr>
      <t xml:space="preserve">
- is a content component for showrooms
- arrenges the 3 main USPs of a certain sales group
</t>
    </r>
  </si>
  <si>
    <r>
      <rPr>
        <b/>
        <sz val="11"/>
        <rFont val="Segoe UI"/>
        <family val="2"/>
      </rPr>
      <t>Validation, that</t>
    </r>
    <r>
      <rPr>
        <sz val="11"/>
        <rFont val="Segoe UI"/>
        <family val="2"/>
      </rPr>
      <t xml:space="preserve">
- the S130 USP Section is displayed on the </t>
    </r>
    <r>
      <rPr>
        <b/>
        <sz val="11"/>
        <rFont val="Segoe UI"/>
        <family val="2"/>
      </rPr>
      <t>publisher</t>
    </r>
  </si>
  <si>
    <r>
      <t xml:space="preserve">S137 Content Slider
</t>
    </r>
    <r>
      <rPr>
        <sz val="11"/>
        <rFont val="Segoe UI"/>
        <family val="2"/>
      </rPr>
      <t>Item: Headline
Item: Copy text
Content Slider with Category</t>
    </r>
  </si>
  <si>
    <r>
      <t xml:space="preserve">S137 Content Slider
</t>
    </r>
    <r>
      <rPr>
        <sz val="11"/>
        <rFont val="Segoe UI"/>
        <family val="2"/>
      </rPr>
      <t xml:space="preserve">Item: Headline
Item: Copy text
Content Slider with Category
Arrows
</t>
    </r>
  </si>
  <si>
    <r>
      <t xml:space="preserve">S137 Content Slider
</t>
    </r>
    <r>
      <rPr>
        <sz val="11"/>
        <rFont val="Segoe UI"/>
        <family val="2"/>
      </rPr>
      <t xml:space="preserve">Arrows
Scrollbar Area
</t>
    </r>
  </si>
  <si>
    <r>
      <rPr>
        <b/>
        <sz val="11"/>
        <rFont val="Segoe UI"/>
        <family val="2"/>
      </rPr>
      <t>Validation, that</t>
    </r>
    <r>
      <rPr>
        <sz val="11"/>
        <rFont val="Segoe UI"/>
        <family val="2"/>
      </rPr>
      <t xml:space="preserve">
- a S114 with its items can be </t>
    </r>
    <r>
      <rPr>
        <b/>
        <sz val="11"/>
        <rFont val="Segoe UI"/>
        <family val="2"/>
      </rPr>
      <t>deleted</t>
    </r>
    <r>
      <rPr>
        <sz val="11"/>
        <rFont val="Segoe UI"/>
        <family val="2"/>
      </rPr>
      <t xml:space="preserve"> 
- arranges a 180 Degree Animation that takes proportions of entire screen and a headline</t>
    </r>
  </si>
  <si>
    <r>
      <rPr>
        <b/>
        <sz val="11"/>
        <rFont val="Segoe UI"/>
        <family val="2"/>
      </rPr>
      <t>Validation, that</t>
    </r>
    <r>
      <rPr>
        <sz val="11"/>
        <rFont val="Segoe UI"/>
        <family val="2"/>
      </rPr>
      <t xml:space="preserve">
- the Showroopage is displayed without S114 Product Experience Stage Section on the </t>
    </r>
    <r>
      <rPr>
        <b/>
        <sz val="11"/>
        <rFont val="Segoe UI"/>
        <family val="2"/>
      </rPr>
      <t>publisher</t>
    </r>
  </si>
  <si>
    <r>
      <rPr>
        <b/>
        <sz val="11"/>
        <rFont val="Segoe UI"/>
        <family val="2"/>
      </rPr>
      <t>Validation, that</t>
    </r>
    <r>
      <rPr>
        <sz val="11"/>
        <rFont val="Segoe UI"/>
        <family val="2"/>
      </rPr>
      <t xml:space="preserve">
- a S128 with its items can be </t>
    </r>
    <r>
      <rPr>
        <b/>
        <sz val="11"/>
        <rFont val="Segoe UI"/>
        <family val="2"/>
      </rPr>
      <t>deleted</t>
    </r>
    <r>
      <rPr>
        <sz val="11"/>
        <rFont val="Segoe UI"/>
        <family val="2"/>
      </rPr>
      <t xml:space="preserve">
- is a content component for showrooms
- shows a list of up to 10 key technical facts about the car / salegroup / carline
</t>
    </r>
  </si>
  <si>
    <r>
      <rPr>
        <b/>
        <sz val="11"/>
        <rFont val="Segoe UI"/>
        <family val="2"/>
      </rPr>
      <t>Validation, that</t>
    </r>
    <r>
      <rPr>
        <sz val="11"/>
        <rFont val="Segoe UI"/>
        <family val="2"/>
      </rPr>
      <t xml:space="preserve">
- the Showoroom is displayed without S128 Car Technical Data Section on the </t>
    </r>
    <r>
      <rPr>
        <b/>
        <sz val="11"/>
        <rFont val="Segoe UI"/>
        <family val="2"/>
      </rPr>
      <t>publisher</t>
    </r>
  </si>
  <si>
    <r>
      <rPr>
        <b/>
        <sz val="11"/>
        <rFont val="Segoe UI"/>
        <family val="2"/>
      </rPr>
      <t>Validation, that</t>
    </r>
    <r>
      <rPr>
        <sz val="11"/>
        <rFont val="Segoe UI"/>
        <family val="2"/>
      </rPr>
      <t xml:space="preserve">
- the Showroom is displayed without S108 Editorial Teaser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</si>
  <si>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S101 with its items can be </t>
    </r>
    <r>
      <rPr>
        <b/>
        <sz val="11"/>
        <rFont val="Segoe UI"/>
        <family val="2"/>
      </rPr>
      <t>deleted</t>
    </r>
    <r>
      <rPr>
        <sz val="11"/>
        <rFont val="Segoe UI"/>
        <family val="2"/>
      </rPr>
      <t xml:space="preserve"> 
- arranges a headline with a copy item</t>
    </r>
  </si>
  <si>
    <r>
      <rPr>
        <b/>
        <sz val="11"/>
        <rFont val="Segoe UI"/>
        <family val="2"/>
      </rPr>
      <t>Validation, that</t>
    </r>
    <r>
      <rPr>
        <sz val="11"/>
        <rFont val="Segoe UI"/>
        <family val="2"/>
      </rPr>
      <t xml:space="preserve">
- the Showroom is displayed without S101 Heading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</si>
  <si>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the Showroom is displayed without S116 Section Group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</si>
  <si>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S102 with its items can be </t>
    </r>
    <r>
      <rPr>
        <b/>
        <sz val="11"/>
        <rFont val="Segoe UI"/>
        <family val="2"/>
      </rPr>
      <t>deleted</t>
    </r>
    <r>
      <rPr>
        <sz val="11"/>
        <rFont val="Segoe UI"/>
        <family val="2"/>
      </rPr>
      <t xml:space="preserve"> 
- arranges 2 Colums for items 
- Items: I101 copy item; I102 quote item;I103 statement item;I106 media single item ;I126 link list item
</t>
    </r>
  </si>
  <si>
    <r>
      <rPr>
        <b/>
        <sz val="11"/>
        <rFont val="Segoe UI"/>
        <family val="2"/>
      </rPr>
      <t>Validation, that</t>
    </r>
    <r>
      <rPr>
        <sz val="11"/>
        <rFont val="Segoe UI"/>
        <family val="2"/>
      </rPr>
      <t xml:space="preserve">
- the Showroom is displayed without S102 Two Columns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</si>
  <si>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S125 with its items can be </t>
    </r>
    <r>
      <rPr>
        <b/>
        <sz val="11"/>
        <rFont val="Segoe UI"/>
        <family val="2"/>
      </rPr>
      <t>deleted</t>
    </r>
    <r>
      <rPr>
        <sz val="11"/>
        <rFont val="Segoe UI"/>
        <family val="2"/>
      </rPr>
      <t xml:space="preserve">
- consists of two modules: highlight accordion module and highlight media gallery module
- highlight accordion module arranges two base elements: a headline copy(heading element and copy item) and a label(Richtext Simple Element)
-  media gallery module arranges a collection of up to 5 media elements</t>
    </r>
  </si>
  <si>
    <r>
      <rPr>
        <b/>
        <sz val="11"/>
        <rFont val="Segoe UI"/>
        <family val="2"/>
      </rPr>
      <t>Validation, that</t>
    </r>
    <r>
      <rPr>
        <sz val="11"/>
        <rFont val="Segoe UI"/>
        <family val="2"/>
      </rPr>
      <t xml:space="preserve">
- the Showroom is displayed without S125 Highlight Feature Section on the </t>
    </r>
    <r>
      <rPr>
        <b/>
        <sz val="11"/>
        <rFont val="Segoe UI"/>
        <family val="2"/>
      </rPr>
      <t>publisher</t>
    </r>
    <r>
      <rPr>
        <sz val="11"/>
        <rFont val="Segoe UI"/>
        <family val="2"/>
      </rPr>
      <t>.</t>
    </r>
  </si>
  <si>
    <r>
      <t xml:space="preserve">Validation, that
</t>
    </r>
    <r>
      <rPr>
        <sz val="11"/>
        <rFont val="Segoe UI"/>
        <family val="2"/>
      </rPr>
      <t xml:space="preserve">- the Showroom is displayed without S122 Feature App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</si>
  <si>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S105 with its items can be </t>
    </r>
    <r>
      <rPr>
        <b/>
        <sz val="11"/>
        <rFont val="Segoe UI"/>
        <family val="2"/>
      </rPr>
      <t>deleted</t>
    </r>
    <r>
      <rPr>
        <sz val="11"/>
        <rFont val="Segoe UI"/>
        <family val="2"/>
      </rPr>
      <t xml:space="preserve"> 
- arranges a headline and up to 5 media elements
</t>
    </r>
  </si>
  <si>
    <r>
      <rPr>
        <b/>
        <sz val="11"/>
        <rFont val="Segoe UI"/>
        <family val="2"/>
      </rPr>
      <t>Validation, that</t>
    </r>
    <r>
      <rPr>
        <sz val="11"/>
        <rFont val="Segoe UI"/>
        <family val="2"/>
      </rPr>
      <t xml:space="preserve">
- the Showroom is displayed without S105 Mood Gallery Sectionon the </t>
    </r>
    <r>
      <rPr>
        <b/>
        <sz val="11"/>
        <rFont val="Segoe UI"/>
        <family val="2"/>
      </rPr>
      <t>publisher</t>
    </r>
    <r>
      <rPr>
        <sz val="11"/>
        <rFont val="Segoe UI"/>
        <family val="2"/>
      </rPr>
      <t>.</t>
    </r>
  </si>
  <si>
    <r>
      <rPr>
        <b/>
        <sz val="11"/>
        <rFont val="Segoe UI"/>
        <family val="2"/>
      </rPr>
      <t>Validation, that</t>
    </r>
    <r>
      <rPr>
        <sz val="11"/>
        <rFont val="Segoe UI"/>
        <family val="2"/>
      </rPr>
      <t xml:space="preserve">
- the Showroom is displayed without S110 Highlight Teaser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</si>
  <si>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S127 with its items can be </t>
    </r>
    <r>
      <rPr>
        <b/>
        <sz val="11"/>
        <rFont val="Segoe UI"/>
        <family val="2"/>
      </rPr>
      <t>deleted</t>
    </r>
    <r>
      <rPr>
        <sz val="11"/>
        <rFont val="Segoe UI"/>
        <family val="2"/>
      </rPr>
      <t xml:space="preserve">
- is a content component for showrooms
- shows a list of Car Feature Categories and display each category with a list of links to Car Features or Content Layers, that will be opened as layers
</t>
    </r>
    <r>
      <rPr>
        <strike/>
        <sz val="11"/>
        <rFont val="Segoe UI"/>
        <family val="2"/>
      </rPr>
      <t>- is displayed on the publisher</t>
    </r>
  </si>
  <si>
    <r>
      <rPr>
        <b/>
        <sz val="11"/>
        <rFont val="Segoe UI"/>
        <family val="2"/>
      </rPr>
      <t>Validation, that</t>
    </r>
    <r>
      <rPr>
        <sz val="11"/>
        <rFont val="Segoe UI"/>
        <family val="2"/>
      </rPr>
      <t xml:space="preserve">
- the Showroom is displayed without S127 Feature Cluster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</si>
  <si>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S130 with its items can be </t>
    </r>
    <r>
      <rPr>
        <b/>
        <sz val="11"/>
        <rFont val="Segoe UI"/>
        <family val="2"/>
      </rPr>
      <t>deleted</t>
    </r>
    <r>
      <rPr>
        <sz val="11"/>
        <rFont val="Segoe UI"/>
        <family val="2"/>
      </rPr>
      <t xml:space="preserve">
- is a content component for showrooms
- arrenges the 3 main USPs of a certain sales group
</t>
    </r>
  </si>
  <si>
    <r>
      <rPr>
        <b/>
        <sz val="11"/>
        <rFont val="Segoe UI"/>
        <family val="2"/>
      </rPr>
      <t>Validation, that</t>
    </r>
    <r>
      <rPr>
        <sz val="11"/>
        <rFont val="Segoe UI"/>
        <family val="2"/>
      </rPr>
      <t xml:space="preserve">
- the Showroom is displayed without S130 USP Section on the </t>
    </r>
    <r>
      <rPr>
        <b/>
        <sz val="11"/>
        <rFont val="Segoe UI"/>
        <family val="2"/>
      </rPr>
      <t>publisher</t>
    </r>
    <r>
      <rPr>
        <sz val="11"/>
        <rFont val="Segoe UI"/>
        <family val="2"/>
      </rPr>
      <t>.</t>
    </r>
  </si>
  <si>
    <r>
      <t xml:space="preserve">S114 Product Experience Stage Section
</t>
    </r>
    <r>
      <rPr>
        <sz val="11"/>
        <rFont val="Segoe UI"/>
        <family val="2"/>
      </rPr>
      <t>Item: 180 Degree Element 
Item: Heading</t>
    </r>
  </si>
  <si>
    <r>
      <rPr>
        <b/>
        <sz val="11"/>
        <rFont val="Segoe UI"/>
        <family val="2"/>
      </rPr>
      <t>Validation, that</t>
    </r>
    <r>
      <rPr>
        <sz val="11"/>
        <rFont val="Segoe UI"/>
        <family val="2"/>
      </rPr>
      <t xml:space="preserve">
- a S139 with its items can be </t>
    </r>
    <r>
      <rPr>
        <b/>
        <sz val="11"/>
        <rFont val="Segoe UI"/>
        <family val="2"/>
      </rPr>
      <t>created</t>
    </r>
    <r>
      <rPr>
        <sz val="11"/>
        <rFont val="Segoe UI"/>
        <family val="2"/>
      </rPr>
      <t xml:space="preserve"> 
- a video with the same cover image can be maintained</t>
    </r>
  </si>
  <si>
    <r>
      <t xml:space="preserve">S139 Fullscreen Stage Section
</t>
    </r>
    <r>
      <rPr>
        <sz val="11"/>
        <rFont val="Segoe UI"/>
        <family val="2"/>
      </rPr>
      <t>Item: Heading
Item:  Video
Cover Image</t>
    </r>
  </si>
  <si>
    <r>
      <rPr>
        <b/>
        <sz val="11"/>
        <rFont val="Segoe UI"/>
        <family val="2"/>
      </rPr>
      <t>Validation, that</t>
    </r>
    <r>
      <rPr>
        <sz val="11"/>
        <rFont val="Segoe UI"/>
        <family val="2"/>
      </rPr>
      <t xml:space="preserve">
- a S128 with its items can be </t>
    </r>
    <r>
      <rPr>
        <b/>
        <sz val="11"/>
        <rFont val="Segoe UI"/>
        <family val="2"/>
      </rPr>
      <t>created</t>
    </r>
    <r>
      <rPr>
        <sz val="11"/>
        <rFont val="Segoe UI"/>
        <family val="2"/>
      </rPr>
      <t xml:space="preserve">
- is a content component for showrooms
- shows a list of up to 2 key highlight technical facts about the car / salegroup / carline
- shows a list of up to 6 key technical data facts about the car / salegroup / carline
- is saved</t>
    </r>
  </si>
  <si>
    <r>
      <t xml:space="preserve">S128 Car Technical Data Section
</t>
    </r>
    <r>
      <rPr>
        <sz val="11"/>
        <rFont val="Segoe UI"/>
        <family val="2"/>
      </rPr>
      <t xml:space="preserve">Item: Technical Car Fact 1
Item: Technical Car Fact 2
Item: Technical Car Fact 3
Item: Technical Car Fact 4
Item: Technical Car Fact 5
Item: Optional Button </t>
    </r>
  </si>
  <si>
    <r>
      <t xml:space="preserve">S108 Editorial Teaser Section
</t>
    </r>
    <r>
      <rPr>
        <sz val="11"/>
        <rFont val="Segoe UI"/>
        <family val="2"/>
      </rPr>
      <t>Item: Heading 
Editorial Teaser Element 1
Editorial Teaser Element 2
Editorial Teaser Element 3</t>
    </r>
  </si>
  <si>
    <r>
      <t xml:space="preserve">S101 Heading Section
</t>
    </r>
    <r>
      <rPr>
        <sz val="11"/>
        <rFont val="Segoe UI"/>
        <family val="2"/>
      </rPr>
      <t>Item: Heading 
Item: I101Copy Item</t>
    </r>
  </si>
  <si>
    <r>
      <t xml:space="preserve">S116 Section Group
S101 Heading Section
</t>
    </r>
    <r>
      <rPr>
        <sz val="11"/>
        <rFont val="Segoe UI"/>
        <family val="2"/>
      </rPr>
      <t xml:space="preserve">Item: Heading 
Item: I101Copy Item
</t>
    </r>
    <r>
      <rPr>
        <b/>
        <sz val="11"/>
        <rFont val="Segoe UI"/>
        <family val="2"/>
      </rPr>
      <t>S102 Single Column Section</t>
    </r>
    <r>
      <rPr>
        <sz val="11"/>
        <rFont val="Segoe UI"/>
        <family val="2"/>
      </rPr>
      <t xml:space="preserve">
Item: Heading 
I101 Copy Item
I102 Quote Item
I103 Statement Item
I106 Media Single Item
I108 Link List Item
</t>
    </r>
    <r>
      <rPr>
        <b/>
        <sz val="11"/>
        <rFont val="Segoe UI"/>
        <family val="2"/>
      </rPr>
      <t xml:space="preserve">S102 Single Column Section
</t>
    </r>
    <r>
      <rPr>
        <sz val="11"/>
        <rFont val="Segoe UI"/>
        <family val="2"/>
      </rPr>
      <t xml:space="preserve">Item: Heading 
I101 Copy Item
I102 Quote Item
I103 Statement Item
I106 Media Single Item
I108 Link List Item
</t>
    </r>
    <r>
      <rPr>
        <b/>
        <sz val="11"/>
        <rFont val="Segoe UI"/>
        <family val="2"/>
      </rPr>
      <t xml:space="preserve">S125 Highlight Feature Section </t>
    </r>
    <r>
      <rPr>
        <sz val="11"/>
        <rFont val="Segoe UI"/>
        <family val="2"/>
      </rPr>
      <t xml:space="preserve">
Carfeature 1
Item: Disclaimer Reference and add Legal Entity</t>
    </r>
  </si>
  <si>
    <r>
      <t xml:space="preserve">S102 Two Columns Section
</t>
    </r>
    <r>
      <rPr>
        <sz val="11"/>
        <rFont val="Segoe UI"/>
        <family val="2"/>
      </rPr>
      <t>I101 Copy Item  (left)
I102 Quote Item  (left)
I103 Statement Item  (left)
I106 Media Single Item  (left)
I108 Link List Item  (left)
I101 Copy Item  (right)
I102 Quote Item  (right)
I103 Statement Item  (right)
I106 Media Single Item  (right)
I108 Link List Item  (right)</t>
    </r>
  </si>
  <si>
    <r>
      <t xml:space="preserve">S125 Highlight Feature Section
</t>
    </r>
    <r>
      <rPr>
        <sz val="11"/>
        <rFont val="Segoe UI"/>
        <family val="2"/>
      </rPr>
      <t>Car Feature 1
Car Feature 2
Car Feature 3
Car Feature 4</t>
    </r>
  </si>
  <si>
    <r>
      <t xml:space="preserve">S105 Mood Gallery Section
</t>
    </r>
    <r>
      <rPr>
        <sz val="11"/>
        <rFont val="Segoe UI"/>
        <family val="2"/>
      </rPr>
      <t>Item: Heading 
Item: Media Element 1
Item: Media Element 2
Item: Media Element 3
Item: Media Element 4
Item: Media Element 5</t>
    </r>
  </si>
  <si>
    <r>
      <t xml:space="preserve">S110 Highlight Teaser Section
</t>
    </r>
    <r>
      <rPr>
        <sz val="11"/>
        <rFont val="Segoe UI"/>
        <family val="2"/>
      </rPr>
      <t>Item: Heading 
Editorial Teaser Element 1
Editorial Teaser Element 2
Editorial Teaser Element 3</t>
    </r>
  </si>
  <si>
    <r>
      <t xml:space="preserve">S127 Feature Cluster Section
</t>
    </r>
    <r>
      <rPr>
        <sz val="11"/>
        <rFont val="Segoe UI"/>
        <family val="2"/>
      </rPr>
      <t>Item: Heading 
I101 Copy Item
Car Feature Category Item 1
Car Feature Category Item 2
Car Feature Category Item 3
Car Feature Category Item 4</t>
    </r>
  </si>
  <si>
    <r>
      <t>Validation, that
- a S130 with its items can be created</t>
    </r>
    <r>
      <rPr>
        <sz val="11"/>
        <rFont val="Segoe UI"/>
        <family val="2"/>
      </rPr>
      <t xml:space="preserve">
- is a content component for showrooms
- arrenges the 3 main USPs of a certain sales group
- is saved</t>
    </r>
  </si>
  <si>
    <r>
      <t xml:space="preserve">S130 USP Section
</t>
    </r>
    <r>
      <rPr>
        <sz val="11"/>
        <rFont val="Segoe UI"/>
        <family val="2"/>
      </rPr>
      <t xml:space="preserve">Item: Media Element 1: </t>
    </r>
    <r>
      <rPr>
        <b/>
        <sz val="11"/>
        <rFont val="Segoe UI"/>
        <family val="2"/>
      </rPr>
      <t>Image</t>
    </r>
    <r>
      <rPr>
        <sz val="11"/>
        <rFont val="Segoe UI"/>
        <family val="2"/>
      </rPr>
      <t xml:space="preserve">
Item: Heading 1
Item: Copy Text 1
Item: Link 1: </t>
    </r>
    <r>
      <rPr>
        <b/>
        <sz val="11"/>
        <rFont val="Segoe UI"/>
        <family val="2"/>
      </rPr>
      <t>External Link/Internal Link</t>
    </r>
    <r>
      <rPr>
        <sz val="11"/>
        <rFont val="Segoe UI"/>
        <family val="2"/>
      </rPr>
      <t xml:space="preserve">
Item: Media Element 2: </t>
    </r>
    <r>
      <rPr>
        <b/>
        <sz val="11"/>
        <rFont val="Segoe UI"/>
        <family val="2"/>
      </rPr>
      <t>Animation</t>
    </r>
    <r>
      <rPr>
        <sz val="11"/>
        <rFont val="Segoe UI"/>
        <family val="2"/>
      </rPr>
      <t xml:space="preserve">
Item: Heading 2
Item: Copy Text 2
Item: Link 2: Layer
Item: Media Element 3: </t>
    </r>
    <r>
      <rPr>
        <b/>
        <sz val="11"/>
        <rFont val="Segoe UI"/>
        <family val="2"/>
      </rPr>
      <t>Animation</t>
    </r>
    <r>
      <rPr>
        <sz val="11"/>
        <rFont val="Segoe UI"/>
        <family val="2"/>
      </rPr>
      <t xml:space="preserve">
Item: Heading 3
Item: Copy Text 3
Item: Media Element 1:</t>
    </r>
    <r>
      <rPr>
        <b/>
        <sz val="11"/>
        <rFont val="Segoe UI"/>
        <family val="2"/>
      </rPr>
      <t xml:space="preserve"> 180 Degree Element</t>
    </r>
    <r>
      <rPr>
        <sz val="11"/>
        <rFont val="Segoe UI"/>
        <family val="2"/>
      </rPr>
      <t xml:space="preserve">
Properties: Tab Media interaction element
Switch on: Show media interaction element 
Label: Media interaction elements right
Label: Media interaction elements left
Item: Link 3: </t>
    </r>
    <r>
      <rPr>
        <b/>
        <sz val="11"/>
        <rFont val="Segoe UI"/>
        <family val="2"/>
      </rPr>
      <t>Download</t>
    </r>
  </si>
  <si>
    <r>
      <t xml:space="preserve">S128 Car Technical Data Section
</t>
    </r>
    <r>
      <rPr>
        <sz val="11"/>
        <rFont val="Segoe UI"/>
        <family val="2"/>
      </rPr>
      <t xml:space="preserve">Item: Technical Car Fact 1
Item: Technical Car Fact 2
Item: Technical Car Fact 3
Item: Technical Car Fact 4
Item: Technical Car Fact 5
Item: optional Button </t>
    </r>
  </si>
  <si>
    <r>
      <rPr>
        <b/>
        <sz val="11"/>
        <rFont val="Segoe UI"/>
        <family val="2"/>
      </rPr>
      <t>Validation that</t>
    </r>
    <r>
      <rPr>
        <sz val="11"/>
        <rFont val="Segoe UI"/>
        <family val="2"/>
      </rPr>
      <t xml:space="preserve">
- a S138 with can be created
- Scrollytelling element can be inserted with:
 Scrollytelling video
- Items can be inserted with:
 Heading
 Copy item</t>
    </r>
  </si>
  <si>
    <r>
      <rPr>
        <b/>
        <sz val="11"/>
        <rFont val="Segoe UI"/>
        <family val="2"/>
      </rPr>
      <t>Validation, that</t>
    </r>
    <r>
      <rPr>
        <sz val="11"/>
        <rFont val="Segoe UI"/>
        <family val="2"/>
      </rPr>
      <t xml:space="preserve">
- a S137 with its items can be created
- arranges at least 3 valid content Slider XFs
- is saved</t>
    </r>
  </si>
  <si>
    <r>
      <rPr>
        <b/>
        <sz val="11"/>
        <rFont val="Segoe UI"/>
        <family val="2"/>
      </rPr>
      <t>Validation that</t>
    </r>
    <r>
      <rPr>
        <sz val="11"/>
        <rFont val="Segoe UI"/>
        <family val="2"/>
      </rPr>
      <t xml:space="preserve">
- S138 items can be </t>
    </r>
    <r>
      <rPr>
        <b/>
        <sz val="11"/>
        <rFont val="Segoe UI"/>
        <family val="2"/>
      </rPr>
      <t>modified</t>
    </r>
  </si>
  <si>
    <r>
      <rPr>
        <b/>
        <sz val="11"/>
        <rFont val="Segoe UI"/>
        <family val="2"/>
      </rPr>
      <t>Validation that</t>
    </r>
    <r>
      <rPr>
        <sz val="11"/>
        <rFont val="Segoe UI"/>
        <family val="2"/>
      </rPr>
      <t xml:space="preserve">
- S138 is displayed on </t>
    </r>
    <r>
      <rPr>
        <b/>
        <sz val="11"/>
        <rFont val="Segoe UI"/>
        <family val="2"/>
      </rPr>
      <t>publish</t>
    </r>
  </si>
  <si>
    <r>
      <rPr>
        <b/>
        <sz val="11"/>
        <rFont val="Segoe UI"/>
        <family val="2"/>
      </rPr>
      <t>Validation, that</t>
    </r>
    <r>
      <rPr>
        <sz val="11"/>
        <rFont val="Segoe UI"/>
        <family val="2"/>
      </rPr>
      <t xml:space="preserve">
- S137 items can be </t>
    </r>
    <r>
      <rPr>
        <b/>
        <sz val="11"/>
        <rFont val="Segoe UI"/>
        <family val="2"/>
      </rPr>
      <t>modified</t>
    </r>
  </si>
  <si>
    <r>
      <rPr>
        <b/>
        <sz val="11"/>
        <rFont val="Segoe UI"/>
        <family val="2"/>
      </rPr>
      <t>Validation, that</t>
    </r>
    <r>
      <rPr>
        <sz val="11"/>
        <rFont val="Segoe UI"/>
        <family val="2"/>
      </rPr>
      <t xml:space="preserve">
- the S137 Section with its Items is displayed </t>
    </r>
    <r>
      <rPr>
        <b/>
        <sz val="11"/>
        <rFont val="Segoe UI"/>
        <family val="2"/>
      </rPr>
      <t>on publish</t>
    </r>
    <r>
      <rPr>
        <sz val="11"/>
        <rFont val="Segoe UI"/>
        <family val="2"/>
      </rPr>
      <t xml:space="preserve">
- Category Button include category name and numbers of the sliders
- Category Button clickable and shown the Sliders
- in the iPad and desktop Viewports the next arrow is shown
- in the iPad and desktop Viewports the previus arrow is shown
- in the Mobile View Arrows aren't shown
</t>
    </r>
  </si>
  <si>
    <r>
      <rPr>
        <b/>
        <sz val="11"/>
        <rFont val="Segoe UI"/>
        <family val="2"/>
      </rPr>
      <t>Validation, that</t>
    </r>
    <r>
      <rPr>
        <sz val="11"/>
        <rFont val="Segoe UI"/>
        <family val="2"/>
      </rPr>
      <t xml:space="preserve">
- in the iPad and desktop Viewports the next arrow is shown and scrolled to the next sliders
- in the iPad and desktop Viewports the previus arrow is shown and scrolled to the beginn of the slider
- Scrollbar Area is shown below the Sliders and can be moved </t>
    </r>
  </si>
  <si>
    <r>
      <t xml:space="preserve">Validation, that
</t>
    </r>
    <r>
      <rPr>
        <sz val="11"/>
        <rFont val="Segoe UI"/>
        <family val="2"/>
      </rPr>
      <t xml:space="preserve">- a S122 with its items can be </t>
    </r>
    <r>
      <rPr>
        <b/>
        <sz val="11"/>
        <rFont val="Segoe UI"/>
        <family val="2"/>
      </rPr>
      <t>deleted</t>
    </r>
    <r>
      <rPr>
        <sz val="11"/>
        <rFont val="Segoe UI"/>
        <family val="2"/>
      </rPr>
      <t xml:space="preserve">
- arranges upcoming feature apps
</t>
    </r>
  </si>
  <si>
    <r>
      <rPr>
        <b/>
        <sz val="11"/>
        <rFont val="Segoe UI"/>
        <family val="2"/>
      </rPr>
      <t>Validation, that</t>
    </r>
    <r>
      <rPr>
        <sz val="11"/>
        <rFont val="Segoe UI"/>
        <family val="2"/>
      </rPr>
      <t xml:space="preserve">
- a S114 with its items can be </t>
    </r>
    <r>
      <rPr>
        <b/>
        <sz val="11"/>
        <rFont val="Segoe UI"/>
        <family val="2"/>
      </rPr>
      <t>created</t>
    </r>
    <r>
      <rPr>
        <sz val="11"/>
        <rFont val="Segoe UI"/>
        <family val="2"/>
      </rPr>
      <t xml:space="preserve"> 
- arranges a 180 Degree Animation that takes proportions of entire screen and a headline</t>
    </r>
    <r>
      <rPr>
        <strike/>
        <sz val="11"/>
        <rFont val="Segoe UI"/>
        <family val="2"/>
      </rPr>
      <t xml:space="preserve">
</t>
    </r>
    <r>
      <rPr>
        <sz val="11"/>
        <rFont val="Segoe UI"/>
        <family val="2"/>
      </rPr>
      <t>- is saved</t>
    </r>
  </si>
  <si>
    <t>Der Taigo</t>
  </si>
  <si>
    <r>
      <t xml:space="preserve">Validation, that
- a global Disclaimer can be </t>
    </r>
    <r>
      <rPr>
        <b/>
        <sz val="11"/>
        <color theme="1"/>
        <rFont val="Segoe UI"/>
        <family val="2"/>
      </rPr>
      <t>created</t>
    </r>
  </si>
  <si>
    <r>
      <t>Validation, that
- a global Disclaimer</t>
    </r>
    <r>
      <rPr>
        <b/>
        <sz val="11"/>
        <color theme="1"/>
        <rFont val="Segoe UI"/>
        <family val="2"/>
      </rPr>
      <t xml:space="preserve"> can be set on a page</t>
    </r>
    <r>
      <rPr>
        <sz val="11"/>
        <color theme="1"/>
        <rFont val="Segoe UI"/>
        <family val="2"/>
      </rPr>
      <t xml:space="preserve">
- appears in the footer of every page, no reference number displayed</t>
    </r>
  </si>
  <si>
    <r>
      <t xml:space="preserve">Validation, that
- a page based Disclaimer can be </t>
    </r>
    <r>
      <rPr>
        <b/>
        <sz val="11"/>
        <color theme="1"/>
        <rFont val="Segoe UI"/>
        <family val="2"/>
      </rPr>
      <t>created</t>
    </r>
    <r>
      <rPr>
        <sz val="11"/>
        <color theme="1"/>
        <rFont val="Segoe UI"/>
        <family val="2"/>
      </rPr>
      <t xml:space="preserve">
</t>
    </r>
  </si>
  <si>
    <r>
      <t xml:space="preserve">Validation, that
- a page based Disclaimer </t>
    </r>
    <r>
      <rPr>
        <b/>
        <sz val="11"/>
        <color theme="1"/>
        <rFont val="Segoe UI"/>
        <family val="2"/>
      </rPr>
      <t>can be set on a page</t>
    </r>
    <r>
      <rPr>
        <sz val="11"/>
        <color theme="1"/>
        <rFont val="Segoe UI"/>
        <family val="2"/>
      </rPr>
      <t xml:space="preserve">
- appears in the footer, have reference number </t>
    </r>
  </si>
  <si>
    <r>
      <t xml:space="preserve">Validation, that 
- a section based Disclaimer can be </t>
    </r>
    <r>
      <rPr>
        <b/>
        <sz val="11"/>
        <color theme="1"/>
        <rFont val="Segoe UI"/>
        <family val="2"/>
      </rPr>
      <t>created</t>
    </r>
    <r>
      <rPr>
        <sz val="11"/>
        <color theme="1"/>
        <rFont val="Segoe UI"/>
        <family val="2"/>
      </rPr>
      <t xml:space="preserve">
</t>
    </r>
  </si>
  <si>
    <r>
      <t xml:space="preserve">Validation, that 
- a section based Disclaimer </t>
    </r>
    <r>
      <rPr>
        <b/>
        <sz val="11"/>
        <color theme="1"/>
        <rFont val="Segoe UI"/>
        <family val="2"/>
      </rPr>
      <t>can be set on a page</t>
    </r>
    <r>
      <rPr>
        <sz val="11"/>
        <color theme="1"/>
        <rFont val="Segoe UI"/>
        <family val="2"/>
      </rPr>
      <t xml:space="preserve">
- appears below the content section</t>
    </r>
  </si>
  <si>
    <r>
      <t xml:space="preserve">Validation, that
- a item based Disclaimer can be </t>
    </r>
    <r>
      <rPr>
        <b/>
        <sz val="11"/>
        <color theme="1"/>
        <rFont val="Segoe UI"/>
        <family val="2"/>
      </rPr>
      <t>created</t>
    </r>
  </si>
  <si>
    <r>
      <t xml:space="preserve">Validation, that
- a item based Disclaimer </t>
    </r>
    <r>
      <rPr>
        <b/>
        <sz val="11"/>
        <color theme="1"/>
        <rFont val="Segoe UI"/>
        <family val="2"/>
      </rPr>
      <t>can be set on a page</t>
    </r>
    <r>
      <rPr>
        <sz val="11"/>
        <color theme="1"/>
        <rFont val="Segoe UI"/>
        <family val="2"/>
      </rPr>
      <t xml:space="preserve">
- appears below the content item</t>
    </r>
  </si>
  <si>
    <r>
      <t xml:space="preserve">Validation, that 
- an inline disclaimer can be </t>
    </r>
    <r>
      <rPr>
        <b/>
        <sz val="11"/>
        <color theme="1"/>
        <rFont val="Segoe UI"/>
        <family val="2"/>
      </rPr>
      <t>created</t>
    </r>
  </si>
  <si>
    <r>
      <t xml:space="preserve">Validation, that 
- an inline disclaimer </t>
    </r>
    <r>
      <rPr>
        <b/>
        <sz val="11"/>
        <color theme="1"/>
        <rFont val="Segoe UI"/>
        <family val="2"/>
      </rPr>
      <t>can be set on a page</t>
    </r>
    <r>
      <rPr>
        <sz val="11"/>
        <color theme="1"/>
        <rFont val="Segoe UI"/>
        <family val="2"/>
      </rPr>
      <t xml:space="preserve">
- appears within the referring text item, e.g. headline or copy, have the same size</t>
    </r>
  </si>
  <si>
    <r>
      <t xml:space="preserve">Validation, that 
- a pageload based disclaimer can be </t>
    </r>
    <r>
      <rPr>
        <b/>
        <sz val="11"/>
        <rFont val="Segoe UI"/>
        <family val="2"/>
      </rPr>
      <t>created</t>
    </r>
  </si>
  <si>
    <r>
      <t>Validation, that the:
- a pageload based Disclaimer</t>
    </r>
    <r>
      <rPr>
        <b/>
        <sz val="11"/>
        <rFont val="Segoe UI"/>
        <family val="2"/>
      </rPr>
      <t xml:space="preserve"> can be set on a page</t>
    </r>
    <r>
      <rPr>
        <sz val="11"/>
        <rFont val="Segoe UI"/>
        <family val="2"/>
      </rPr>
      <t xml:space="preserve">
- appears within clicking on the reference number, can be closed via x button</t>
    </r>
  </si>
  <si>
    <r>
      <t xml:space="preserve">Validation, that 
- an advanced disclaimer can be </t>
    </r>
    <r>
      <rPr>
        <b/>
        <sz val="11"/>
        <rFont val="Segoe UI"/>
        <family val="2"/>
      </rPr>
      <t>created</t>
    </r>
  </si>
  <si>
    <r>
      <t>Validation, that the:
- a advanced Disclaimer</t>
    </r>
    <r>
      <rPr>
        <b/>
        <sz val="11"/>
        <color theme="1"/>
        <rFont val="Segoe UI"/>
        <family val="2"/>
      </rPr>
      <t xml:space="preserve"> can be set on a page</t>
    </r>
    <r>
      <rPr>
        <sz val="11"/>
        <color theme="1"/>
        <rFont val="Segoe UI"/>
        <family val="2"/>
      </rPr>
      <t xml:space="preserve">
- appears below the content item</t>
    </r>
  </si>
  <si>
    <r>
      <t xml:space="preserve">Validation, that 
- a Content Layer with content can be </t>
    </r>
    <r>
      <rPr>
        <b/>
        <sz val="11"/>
        <color theme="1"/>
        <rFont val="Segoe UI"/>
        <family val="2"/>
      </rPr>
      <t>created</t>
    </r>
    <r>
      <rPr>
        <sz val="11"/>
        <color theme="1"/>
        <rFont val="Segoe UI"/>
        <family val="2"/>
      </rPr>
      <t xml:space="preserve"> in the XF
</t>
    </r>
  </si>
  <si>
    <r>
      <t xml:space="preserve">Validation, that 
- the Content Layer </t>
    </r>
    <r>
      <rPr>
        <b/>
        <sz val="11"/>
        <color theme="1"/>
        <rFont val="Segoe UI"/>
        <family val="2"/>
      </rPr>
      <t>can be set on a page</t>
    </r>
    <r>
      <rPr>
        <sz val="11"/>
        <color theme="1"/>
        <rFont val="Segoe UI"/>
        <family val="2"/>
      </rPr>
      <t xml:space="preserve">
- appears on the bottum site of a page</t>
    </r>
  </si>
  <si>
    <r>
      <t xml:space="preserve">Validation, that 
- an Interaction Layer with content can be </t>
    </r>
    <r>
      <rPr>
        <b/>
        <sz val="11"/>
        <color theme="1"/>
        <rFont val="Segoe UI"/>
        <family val="2"/>
      </rPr>
      <t>created</t>
    </r>
    <r>
      <rPr>
        <sz val="11"/>
        <color theme="1"/>
        <rFont val="Segoe UI"/>
        <family val="2"/>
      </rPr>
      <t xml:space="preserve"> in the XF
</t>
    </r>
  </si>
  <si>
    <r>
      <t>Validation, that 
- the Interaction Layer</t>
    </r>
    <r>
      <rPr>
        <b/>
        <sz val="11"/>
        <color theme="1"/>
        <rFont val="Segoe UI"/>
        <family val="2"/>
      </rPr>
      <t xml:space="preserve"> can be set on a page</t>
    </r>
    <r>
      <rPr>
        <sz val="11"/>
        <color theme="1"/>
        <rFont val="Segoe UI"/>
        <family val="2"/>
      </rPr>
      <t xml:space="preserve">
- appears on the right site of a page</t>
    </r>
  </si>
  <si>
    <r>
      <t xml:space="preserve">Validation, that 
- a Car Feature Category  can be </t>
    </r>
    <r>
      <rPr>
        <b/>
        <sz val="11"/>
        <color theme="1"/>
        <rFont val="Segoe UI"/>
        <family val="2"/>
      </rPr>
      <t>created</t>
    </r>
    <r>
      <rPr>
        <sz val="11"/>
        <color theme="1"/>
        <rFont val="Segoe UI"/>
        <family val="2"/>
      </rPr>
      <t xml:space="preserve"> in the XF
</t>
    </r>
  </si>
  <si>
    <r>
      <t>Validation, that 
- the Car Feature Category</t>
    </r>
    <r>
      <rPr>
        <b/>
        <sz val="11"/>
        <color theme="1"/>
        <rFont val="Segoe UI"/>
        <family val="2"/>
      </rPr>
      <t xml:space="preserve"> can be set</t>
    </r>
    <r>
      <rPr>
        <sz val="11"/>
        <color theme="1"/>
        <rFont val="Segoe UI"/>
        <family val="2"/>
      </rPr>
      <t xml:space="preserve"> in a S125 Highlight Feature Section </t>
    </r>
    <r>
      <rPr>
        <b/>
        <sz val="11"/>
        <color theme="1"/>
        <rFont val="Segoe UI"/>
        <family val="2"/>
      </rPr>
      <t>on a page</t>
    </r>
  </si>
  <si>
    <r>
      <t xml:space="preserve">Validation, that 
- a Car Feature  can be </t>
    </r>
    <r>
      <rPr>
        <b/>
        <sz val="11"/>
        <color theme="1"/>
        <rFont val="Segoe UI"/>
        <family val="2"/>
      </rPr>
      <t>created</t>
    </r>
    <r>
      <rPr>
        <sz val="11"/>
        <color theme="1"/>
        <rFont val="Segoe UI"/>
        <family val="2"/>
      </rPr>
      <t xml:space="preserve"> in the XF
</t>
    </r>
  </si>
  <si>
    <r>
      <t xml:space="preserve">Validation, that 
- an Author with can be </t>
    </r>
    <r>
      <rPr>
        <b/>
        <sz val="11"/>
        <rFont val="Segoe UI"/>
        <family val="2"/>
      </rPr>
      <t>created</t>
    </r>
    <r>
      <rPr>
        <sz val="11"/>
        <rFont val="Segoe UI"/>
        <family val="2"/>
      </rPr>
      <t xml:space="preserve"> in the XF (proberties)</t>
    </r>
  </si>
  <si>
    <r>
      <t>Validation, that 
- an Authors</t>
    </r>
    <r>
      <rPr>
        <b/>
        <sz val="11"/>
        <rFont val="Segoe UI"/>
        <family val="2"/>
      </rPr>
      <t xml:space="preserve"> can be set </t>
    </r>
    <r>
      <rPr>
        <sz val="11"/>
        <rFont val="Segoe UI"/>
        <family val="2"/>
      </rPr>
      <t xml:space="preserve">in a S106 Editorial Section </t>
    </r>
    <r>
      <rPr>
        <b/>
        <sz val="11"/>
        <rFont val="Segoe UI"/>
        <family val="2"/>
      </rPr>
      <t>on a page</t>
    </r>
  </si>
  <si>
    <r>
      <t xml:space="preserve">Validation, that 
- a Photographers  with can be </t>
    </r>
    <r>
      <rPr>
        <b/>
        <sz val="11"/>
        <rFont val="Segoe UI"/>
        <family val="2"/>
      </rPr>
      <t>created</t>
    </r>
    <r>
      <rPr>
        <sz val="11"/>
        <rFont val="Segoe UI"/>
        <family val="2"/>
      </rPr>
      <t xml:space="preserve"> in the XF (proberties)
</t>
    </r>
  </si>
  <si>
    <r>
      <t>Validation, that 
- an Photographer</t>
    </r>
    <r>
      <rPr>
        <b/>
        <sz val="11"/>
        <rFont val="Segoe UI"/>
        <family val="2"/>
      </rPr>
      <t xml:space="preserve"> can be set </t>
    </r>
    <r>
      <rPr>
        <sz val="11"/>
        <rFont val="Segoe UI"/>
        <family val="2"/>
      </rPr>
      <t xml:space="preserve">in a S106 Editorial Section </t>
    </r>
    <r>
      <rPr>
        <b/>
        <sz val="11"/>
        <rFont val="Segoe UI"/>
        <family val="2"/>
      </rPr>
      <t>on a page</t>
    </r>
  </si>
  <si>
    <r>
      <t xml:space="preserve">Validation, that 
- an Editorial Teaser can be </t>
    </r>
    <r>
      <rPr>
        <b/>
        <sz val="11"/>
        <rFont val="Segoe UI"/>
        <family val="2"/>
      </rPr>
      <t>created</t>
    </r>
    <r>
      <rPr>
        <sz val="11"/>
        <rFont val="Segoe UI"/>
        <family val="2"/>
      </rPr>
      <t xml:space="preserve">
</t>
    </r>
  </si>
  <si>
    <r>
      <t xml:space="preserve">Validation, that 
- an Editorial Teaser </t>
    </r>
    <r>
      <rPr>
        <b/>
        <sz val="11"/>
        <rFont val="Segoe UI"/>
        <family val="2"/>
      </rPr>
      <t>can be set</t>
    </r>
    <r>
      <rPr>
        <sz val="11"/>
        <rFont val="Segoe UI"/>
        <family val="2"/>
      </rPr>
      <t xml:space="preserve"> in S115 Focus Teaser Section</t>
    </r>
    <r>
      <rPr>
        <b/>
        <sz val="11"/>
        <rFont val="Segoe UI"/>
        <family val="2"/>
      </rPr>
      <t xml:space="preserve"> on a page</t>
    </r>
  </si>
  <si>
    <r>
      <t xml:space="preserve">Validation, that 
- an Text only teaser can be </t>
    </r>
    <r>
      <rPr>
        <b/>
        <sz val="11"/>
        <color theme="1"/>
        <rFont val="Segoe UI"/>
        <family val="2"/>
      </rPr>
      <t>created</t>
    </r>
  </si>
  <si>
    <r>
      <t xml:space="preserve">Validation, that 
- an Text only teaser </t>
    </r>
    <r>
      <rPr>
        <b/>
        <sz val="11"/>
        <color theme="1"/>
        <rFont val="Segoe UI"/>
        <family val="2"/>
      </rPr>
      <t>can be set</t>
    </r>
    <r>
      <rPr>
        <sz val="11"/>
        <color theme="1"/>
        <rFont val="Segoe UI"/>
        <family val="2"/>
      </rPr>
      <t xml:space="preserve"> in a S135 Text Only Teaser Section</t>
    </r>
  </si>
  <si>
    <r>
      <t xml:space="preserve">Validation, that 
-the S135 Section and its text only teaser is </t>
    </r>
    <r>
      <rPr>
        <b/>
        <sz val="11"/>
        <color theme="1"/>
        <rFont val="Segoe UI"/>
        <family val="2"/>
      </rPr>
      <t>displayed on the publisher</t>
    </r>
  </si>
  <si>
    <r>
      <rPr>
        <b/>
        <sz val="11"/>
        <color theme="1"/>
        <rFont val="Segoe UI"/>
        <family val="2"/>
      </rPr>
      <t>Validation, that</t>
    </r>
    <r>
      <rPr>
        <sz val="11"/>
        <color theme="1"/>
        <rFont val="Segoe UI"/>
        <family val="2"/>
      </rPr>
      <t xml:space="preserve">
- all elements are reachable via keyboard
- every element is read out by a screenreader</t>
    </r>
  </si>
  <si>
    <r>
      <rPr>
        <b/>
        <sz val="11"/>
        <rFont val="Segoe UI"/>
        <family val="2"/>
      </rPr>
      <t>Validation, that</t>
    </r>
    <r>
      <rPr>
        <sz val="11"/>
        <rFont val="Segoe UI"/>
        <family val="2"/>
      </rPr>
      <t xml:space="preserve">
- a S101 with its items can be </t>
    </r>
    <r>
      <rPr>
        <b/>
        <sz val="11"/>
        <rFont val="Segoe UI"/>
        <family val="2"/>
      </rPr>
      <t>created</t>
    </r>
    <r>
      <rPr>
        <sz val="11"/>
        <rFont val="Segoe UI"/>
        <family val="2"/>
      </rPr>
      <t xml:space="preserve"> 
- arranges a headline with a copy item
- is displayed on the publisher</t>
    </r>
  </si>
  <si>
    <r>
      <t xml:space="preserve">Validation, that
- a S102 with its items can be </t>
    </r>
    <r>
      <rPr>
        <b/>
        <sz val="11"/>
        <rFont val="Segoe UI"/>
        <family val="2"/>
      </rPr>
      <t>created</t>
    </r>
    <r>
      <rPr>
        <sz val="11"/>
        <rFont val="Segoe UI"/>
        <family val="2"/>
      </rPr>
      <t xml:space="preserve"> 
- arranges a heading, a copy Item and Media Single Image Only Item
- is displayed on the publisher</t>
    </r>
  </si>
  <si>
    <r>
      <t xml:space="preserve">S102 Single Column Section
</t>
    </r>
    <r>
      <rPr>
        <sz val="11"/>
        <rFont val="Segoe UI"/>
        <family val="2"/>
      </rPr>
      <t>Item: Heading 
I101 Copy Item
I106 Media Single Image Only Item</t>
    </r>
  </si>
  <si>
    <r>
      <t xml:space="preserve">Validation, that
- a S102 with its items can be </t>
    </r>
    <r>
      <rPr>
        <b/>
        <sz val="11"/>
        <rFont val="Segoe UI"/>
        <family val="2"/>
      </rPr>
      <t>created</t>
    </r>
    <r>
      <rPr>
        <sz val="11"/>
        <rFont val="Segoe UI"/>
        <family val="2"/>
      </rPr>
      <t xml:space="preserve"> 
- arranges  a heading, a copy Item and Media Single Image Only Item
- is displayed on the publisher</t>
    </r>
  </si>
  <si>
    <r>
      <t xml:space="preserve">S102 Two Columns Section
</t>
    </r>
    <r>
      <rPr>
        <sz val="11"/>
        <rFont val="Segoe UI"/>
        <family val="2"/>
      </rPr>
      <t>Item: Heading 
I101 Copy Item
I106 Media Single Image Only Item</t>
    </r>
  </si>
  <si>
    <r>
      <t xml:space="preserve">Validation, that
- a S101 with its items can be </t>
    </r>
    <r>
      <rPr>
        <b/>
        <sz val="11"/>
        <rFont val="Segoe UI"/>
        <family val="2"/>
      </rPr>
      <t>modified</t>
    </r>
    <r>
      <rPr>
        <sz val="11"/>
        <rFont val="Segoe UI"/>
        <family val="2"/>
      </rPr>
      <t xml:space="preserve"> 
- arranges a headline with a copy item
- is displayed on the publisher</t>
    </r>
  </si>
  <si>
    <r>
      <t xml:space="preserve">Validation, that
- a S102 with its items can be </t>
    </r>
    <r>
      <rPr>
        <b/>
        <sz val="11"/>
        <rFont val="Segoe UI"/>
        <family val="2"/>
      </rPr>
      <t>modified</t>
    </r>
    <r>
      <rPr>
        <sz val="11"/>
        <rFont val="Segoe UI"/>
        <family val="2"/>
      </rPr>
      <t xml:space="preserve"> 
- arranges a heading, a copy Item and Media Single Image Only Item
- is displayed on the publisher</t>
    </r>
  </si>
  <si>
    <r>
      <t xml:space="preserve">Validation, that
- a S102 with its items can be </t>
    </r>
    <r>
      <rPr>
        <b/>
        <sz val="11"/>
        <rFont val="Segoe UI"/>
        <family val="2"/>
      </rPr>
      <t>modified</t>
    </r>
    <r>
      <rPr>
        <sz val="11"/>
        <rFont val="Segoe UI"/>
        <family val="2"/>
      </rPr>
      <t xml:space="preserve"> 
- arranges  a heading, a copy Item and Media Single Image Only Item
- is displayed on the publisher</t>
    </r>
  </si>
  <si>
    <r>
      <t xml:space="preserve">Validation, that
- a S101 with its items can be </t>
    </r>
    <r>
      <rPr>
        <b/>
        <sz val="11"/>
        <rFont val="Segoe UI"/>
        <family val="2"/>
      </rPr>
      <t>deleted</t>
    </r>
    <r>
      <rPr>
        <sz val="11"/>
        <rFont val="Segoe UI"/>
        <family val="2"/>
      </rPr>
      <t xml:space="preserve"> 
- arranges a headline with a copy item
- is displayed on the publisher</t>
    </r>
  </si>
  <si>
    <r>
      <t xml:space="preserve">Validation, that
- a S102 with its items can be </t>
    </r>
    <r>
      <rPr>
        <b/>
        <sz val="11"/>
        <rFont val="Segoe UI"/>
        <family val="2"/>
      </rPr>
      <t>deleted</t>
    </r>
    <r>
      <rPr>
        <sz val="11"/>
        <rFont val="Segoe UI"/>
        <family val="2"/>
      </rPr>
      <t xml:space="preserve"> 
- arranges a heading, a copy Item and Media Single Image Only Item
- is displayed on the publisher</t>
    </r>
  </si>
  <si>
    <r>
      <t xml:space="preserve">Validation, that
- a S102 with its items can be </t>
    </r>
    <r>
      <rPr>
        <b/>
        <sz val="11"/>
        <rFont val="Segoe UI"/>
        <family val="2"/>
      </rPr>
      <t>deleted</t>
    </r>
    <r>
      <rPr>
        <sz val="11"/>
        <rFont val="Segoe UI"/>
        <family val="2"/>
      </rPr>
      <t xml:space="preserve"> 
- arranges  a heading, a copy Item and Media Single Image Only Item
- is displayed on the publisher</t>
    </r>
  </si>
  <si>
    <r>
      <rPr>
        <b/>
        <sz val="11"/>
        <rFont val="Segoe UI"/>
        <family val="2"/>
      </rPr>
      <t>Validation, that</t>
    </r>
    <r>
      <rPr>
        <sz val="11"/>
        <rFont val="Segoe UI"/>
        <family val="2"/>
      </rPr>
      <t xml:space="preserve">
- a Feature App Page can be </t>
    </r>
    <r>
      <rPr>
        <b/>
        <sz val="11"/>
        <rFont val="Segoe UI"/>
        <family val="2"/>
      </rPr>
      <t>created</t>
    </r>
    <r>
      <rPr>
        <sz val="11"/>
        <rFont val="Segoe UI"/>
        <family val="2"/>
      </rPr>
      <t xml:space="preserve"> under Model Overview Page</t>
    </r>
  </si>
  <si>
    <r>
      <rPr>
        <b/>
        <sz val="11"/>
        <rFont val="Segoe UI"/>
        <family val="2"/>
      </rPr>
      <t>Validation, that</t>
    </r>
    <r>
      <rPr>
        <sz val="11"/>
        <rFont val="Segoe UI"/>
        <family val="2"/>
      </rPr>
      <t xml:space="preserve">
- a S122 with its items can be </t>
    </r>
    <r>
      <rPr>
        <b/>
        <sz val="11"/>
        <rFont val="Segoe UI"/>
        <family val="2"/>
      </rPr>
      <t>created</t>
    </r>
    <r>
      <rPr>
        <sz val="11"/>
        <rFont val="Segoe UI"/>
        <family val="2"/>
      </rPr>
      <t xml:space="preserve">
- arranges upcoming feature apps</t>
    </r>
  </si>
  <si>
    <r>
      <t xml:space="preserve">S122 Feature App Section
</t>
    </r>
    <r>
      <rPr>
        <sz val="11"/>
        <rFont val="Segoe UI"/>
        <family val="2"/>
      </rPr>
      <t>Feature App: Mofa</t>
    </r>
  </si>
  <si>
    <r>
      <t xml:space="preserve">Validation, that
</t>
    </r>
    <r>
      <rPr>
        <sz val="11"/>
        <rFont val="Segoe UI"/>
        <family val="2"/>
      </rPr>
      <t>- a S122 with ist items are displayed on publisher side</t>
    </r>
  </si>
  <si>
    <r>
      <rPr>
        <b/>
        <sz val="11"/>
        <color theme="1"/>
        <rFont val="Segoe UI"/>
        <family val="2"/>
      </rPr>
      <t>Validation, that</t>
    </r>
    <r>
      <rPr>
        <sz val="11"/>
        <color theme="1"/>
        <rFont val="Segoe UI"/>
        <family val="2"/>
      </rPr>
      <t xml:space="preserve">
- a S122 with its items can be created
- arranges upcoming feature apps
- is displayed on the publisher.</t>
    </r>
  </si>
  <si>
    <r>
      <rPr>
        <b/>
        <sz val="11"/>
        <color theme="1"/>
        <rFont val="Segoe UI"/>
        <family val="2"/>
      </rPr>
      <t>S122 Feature App Section</t>
    </r>
    <r>
      <rPr>
        <sz val="11"/>
        <color theme="1"/>
        <rFont val="Segoe UI"/>
        <family val="2"/>
      </rPr>
      <t xml:space="preserve">
Feature App: Mofa</t>
    </r>
  </si>
  <si>
    <r>
      <rPr>
        <b/>
        <sz val="11"/>
        <rFont val="Segoe UI"/>
        <family val="2"/>
      </rPr>
      <t>Validation, that</t>
    </r>
    <r>
      <rPr>
        <sz val="11"/>
        <rFont val="Segoe UI"/>
        <family val="2"/>
      </rPr>
      <t xml:space="preserve">
- a S109 with its items can be </t>
    </r>
    <r>
      <rPr>
        <b/>
        <sz val="11"/>
        <rFont val="Segoe UI"/>
        <family val="2"/>
      </rPr>
      <t>created</t>
    </r>
    <r>
      <rPr>
        <sz val="11"/>
        <rFont val="Segoe UI"/>
        <family val="2"/>
      </rPr>
      <t xml:space="preserve">
- arranges a headline and an image illustration</t>
    </r>
    <r>
      <rPr>
        <strike/>
        <sz val="11"/>
        <rFont val="Segoe UI"/>
        <family val="2"/>
      </rPr>
      <t xml:space="preserve">
</t>
    </r>
    <r>
      <rPr>
        <sz val="11"/>
        <rFont val="Segoe UI"/>
        <family val="2"/>
      </rPr>
      <t>- is saved</t>
    </r>
  </si>
  <si>
    <r>
      <t xml:space="preserve">S109 Answers Stage
</t>
    </r>
    <r>
      <rPr>
        <sz val="11"/>
        <rFont val="Segoe UI"/>
        <family val="2"/>
      </rPr>
      <t xml:space="preserve">Item: Heading 
Item: I101Copy Item
Item: Image Illustration
Reading Time </t>
    </r>
  </si>
  <si>
    <r>
      <rPr>
        <b/>
        <sz val="11"/>
        <rFont val="Segoe UI"/>
        <family val="2"/>
      </rPr>
      <t>Validation, that</t>
    </r>
    <r>
      <rPr>
        <sz val="11"/>
        <rFont val="Segoe UI"/>
        <family val="2"/>
      </rPr>
      <t xml:space="preserve">
- a S101 with its items can be </t>
    </r>
    <r>
      <rPr>
        <b/>
        <sz val="11"/>
        <rFont val="Segoe UI"/>
        <family val="2"/>
      </rPr>
      <t>created</t>
    </r>
    <r>
      <rPr>
        <sz val="11"/>
        <rFont val="Segoe UI"/>
        <family val="2"/>
      </rPr>
      <t xml:space="preserve"> 
- arranges a headline with a copy item</t>
    </r>
    <r>
      <rPr>
        <strike/>
        <sz val="11"/>
        <rFont val="Segoe UI"/>
        <family val="2"/>
      </rPr>
      <t xml:space="preserve">
</t>
    </r>
    <r>
      <rPr>
        <sz val="11"/>
        <rFont val="Segoe UI"/>
        <family val="2"/>
      </rPr>
      <t>- is saved</t>
    </r>
  </si>
  <si>
    <r>
      <rPr>
        <b/>
        <sz val="11"/>
        <rFont val="Segoe UI"/>
        <family val="2"/>
      </rPr>
      <t>Validation, that</t>
    </r>
    <r>
      <rPr>
        <sz val="11"/>
        <rFont val="Segoe UI"/>
        <family val="2"/>
      </rPr>
      <t xml:space="preserve">
- a S102 with its items can be </t>
    </r>
    <r>
      <rPr>
        <b/>
        <sz val="11"/>
        <rFont val="Segoe UI"/>
        <family val="2"/>
      </rPr>
      <t>created</t>
    </r>
    <r>
      <rPr>
        <sz val="11"/>
        <rFont val="Segoe UI"/>
        <family val="2"/>
      </rPr>
      <t xml:space="preserve"> 
- arranges a headline and a column for items 
- Items: I101 copy item; I102 quote item;I103 statement item;I106 media single item ;I126 link list item
- is saved</t>
    </r>
  </si>
  <si>
    <r>
      <t xml:space="preserve">S102 Single Column Section
</t>
    </r>
    <r>
      <rPr>
        <sz val="11"/>
        <rFont val="Segoe UI"/>
        <family val="2"/>
      </rPr>
      <t>Item: Heading 
Item: I101Copy Item
I102 Quote Item
I103 Statement Item
I106 Media Single Image Only Item
I108 Link List Item</t>
    </r>
  </si>
  <si>
    <r>
      <rPr>
        <b/>
        <sz val="11"/>
        <rFont val="Segoe UI"/>
        <family val="2"/>
      </rPr>
      <t>Validation, that</t>
    </r>
    <r>
      <rPr>
        <sz val="11"/>
        <rFont val="Segoe UI"/>
        <family val="2"/>
      </rPr>
      <t xml:space="preserve">
- a S102 with its items can be </t>
    </r>
    <r>
      <rPr>
        <b/>
        <sz val="11"/>
        <rFont val="Segoe UI"/>
        <family val="2"/>
      </rPr>
      <t>created</t>
    </r>
    <r>
      <rPr>
        <sz val="11"/>
        <rFont val="Segoe UI"/>
        <family val="2"/>
      </rPr>
      <t xml:space="preserve"> 
- arranges 2 Colums for items 
- Items: I101 copy item; I102 quote item;I103 statement item;I106 media single item ;I126 link list item</t>
    </r>
    <r>
      <rPr>
        <strike/>
        <sz val="11"/>
        <rFont val="Segoe UI"/>
        <family val="2"/>
      </rPr>
      <t xml:space="preserve">
</t>
    </r>
    <r>
      <rPr>
        <sz val="11"/>
        <rFont val="Segoe UI"/>
        <family val="2"/>
      </rPr>
      <t>- is saved</t>
    </r>
  </si>
  <si>
    <r>
      <t xml:space="preserve">S102 Two Columns Section
</t>
    </r>
    <r>
      <rPr>
        <sz val="11"/>
        <rFont val="Segoe UI"/>
        <family val="2"/>
      </rPr>
      <t>I101Copy Item
I102 Quote Item
I103 Statement Item
I106 Media Single Image Only Item
I108 Link List Item</t>
    </r>
  </si>
  <si>
    <r>
      <rPr>
        <b/>
        <sz val="11"/>
        <rFont val="Segoe UI"/>
        <family val="2"/>
      </rPr>
      <t>Validation, that</t>
    </r>
    <r>
      <rPr>
        <sz val="11"/>
        <rFont val="Segoe UI"/>
        <family val="2"/>
      </rPr>
      <t xml:space="preserve">
- a S103 with its items can be </t>
    </r>
    <r>
      <rPr>
        <b/>
        <sz val="11"/>
        <rFont val="Segoe UI"/>
        <family val="2"/>
      </rPr>
      <t>created</t>
    </r>
    <r>
      <rPr>
        <sz val="11"/>
        <rFont val="Segoe UI"/>
        <family val="2"/>
      </rPr>
      <t xml:space="preserve"> 
- arranges a headline, copy item and a media element
- is saved</t>
    </r>
  </si>
  <si>
    <r>
      <t xml:space="preserve">S103 Copy Inset Media Section
</t>
    </r>
    <r>
      <rPr>
        <sz val="11"/>
        <rFont val="Segoe UI"/>
        <family val="2"/>
      </rPr>
      <t>Item: Heading 
Item: I101Copy Item
Item: Media Element</t>
    </r>
  </si>
  <si>
    <r>
      <rPr>
        <b/>
        <sz val="11"/>
        <rFont val="Segoe UI"/>
        <family val="2"/>
      </rPr>
      <t>Validation, that</t>
    </r>
    <r>
      <rPr>
        <sz val="11"/>
        <rFont val="Segoe UI"/>
        <family val="2"/>
      </rPr>
      <t xml:space="preserve">
- a S105 with its items can be </t>
    </r>
    <r>
      <rPr>
        <b/>
        <sz val="11"/>
        <rFont val="Segoe UI"/>
        <family val="2"/>
      </rPr>
      <t>created</t>
    </r>
    <r>
      <rPr>
        <sz val="11"/>
        <rFont val="Segoe UI"/>
        <family val="2"/>
      </rPr>
      <t xml:space="preserve"> 
- arranges a headline and up to 5 media elements</t>
    </r>
    <r>
      <rPr>
        <strike/>
        <sz val="11"/>
        <rFont val="Segoe UI"/>
        <family val="2"/>
      </rPr>
      <t xml:space="preserve">
</t>
    </r>
    <r>
      <rPr>
        <sz val="11"/>
        <rFont val="Segoe UI"/>
        <family val="2"/>
      </rPr>
      <t>- is saved</t>
    </r>
  </si>
  <si>
    <r>
      <t xml:space="preserve">S105 Mood Gallery Section
</t>
    </r>
    <r>
      <rPr>
        <sz val="11"/>
        <rFont val="Segoe UI"/>
        <family val="2"/>
      </rPr>
      <t>Item: Heading 
Item: Media Element 1
Item: Media Element 2
Item: Media Element 3</t>
    </r>
  </si>
  <si>
    <r>
      <rPr>
        <b/>
        <sz val="11"/>
        <rFont val="Segoe UI"/>
        <family val="2"/>
      </rPr>
      <t>Validation, that</t>
    </r>
    <r>
      <rPr>
        <sz val="11"/>
        <rFont val="Segoe UI"/>
        <family val="2"/>
      </rPr>
      <t xml:space="preserve">
- a S107 with its items can be </t>
    </r>
    <r>
      <rPr>
        <b/>
        <sz val="11"/>
        <rFont val="Segoe UI"/>
        <family val="2"/>
      </rPr>
      <t>created</t>
    </r>
    <r>
      <rPr>
        <sz val="11"/>
        <rFont val="Segoe UI"/>
        <family val="2"/>
      </rPr>
      <t xml:space="preserve"> 
- arranges copy item in a specific layout
- is saved</t>
    </r>
  </si>
  <si>
    <r>
      <t xml:space="preserve">S107 Intro Copy Section
</t>
    </r>
    <r>
      <rPr>
        <sz val="11"/>
        <color theme="1"/>
        <rFont val="Segoe UI"/>
        <family val="2"/>
      </rPr>
      <t>Item: I101Copy Item</t>
    </r>
  </si>
  <si>
    <r>
      <rPr>
        <b/>
        <sz val="11"/>
        <rFont val="Segoe UI"/>
        <family val="2"/>
      </rPr>
      <t>Validation, that</t>
    </r>
    <r>
      <rPr>
        <sz val="11"/>
        <rFont val="Segoe UI"/>
        <family val="2"/>
      </rPr>
      <t xml:space="preserve">
- a S108 with its items can be </t>
    </r>
    <r>
      <rPr>
        <b/>
        <sz val="11"/>
        <rFont val="Segoe UI"/>
        <family val="2"/>
      </rPr>
      <t>created</t>
    </r>
    <r>
      <rPr>
        <sz val="11"/>
        <rFont val="Segoe UI"/>
        <family val="2"/>
      </rPr>
      <t xml:space="preserve"> 
- arranges 3 or 6 teaser elements </t>
    </r>
    <r>
      <rPr>
        <strike/>
        <sz val="11"/>
        <rFont val="Segoe UI"/>
        <family val="2"/>
      </rPr>
      <t xml:space="preserve">
</t>
    </r>
    <r>
      <rPr>
        <sz val="11"/>
        <rFont val="Segoe UI"/>
        <family val="2"/>
      </rPr>
      <t>- is saved</t>
    </r>
  </si>
  <si>
    <r>
      <rPr>
        <b/>
        <sz val="11"/>
        <rFont val="Segoe UI"/>
        <family val="2"/>
      </rPr>
      <t>Validation, that</t>
    </r>
    <r>
      <rPr>
        <sz val="11"/>
        <rFont val="Segoe UI"/>
        <family val="2"/>
      </rPr>
      <t xml:space="preserve">
- a S116 with its items can be </t>
    </r>
    <r>
      <rPr>
        <b/>
        <sz val="11"/>
        <rFont val="Segoe UI"/>
        <family val="2"/>
      </rPr>
      <t>created</t>
    </r>
    <r>
      <rPr>
        <sz val="11"/>
        <rFont val="Segoe UI"/>
        <family val="2"/>
      </rPr>
      <t xml:space="preserve"> 
- arranges a headline and several sections</t>
    </r>
    <r>
      <rPr>
        <strike/>
        <sz val="11"/>
        <rFont val="Segoe UI"/>
        <family val="2"/>
      </rPr>
      <t xml:space="preserve">
</t>
    </r>
    <r>
      <rPr>
        <sz val="11"/>
        <rFont val="Segoe UI"/>
        <family val="2"/>
      </rPr>
      <t>- is saved</t>
    </r>
  </si>
  <si>
    <r>
      <t xml:space="preserve">S116 Section Group
S102 Single Column Section
</t>
    </r>
    <r>
      <rPr>
        <sz val="11"/>
        <rFont val="Segoe UI"/>
        <family val="2"/>
      </rPr>
      <t xml:space="preserve">Item: Heading </t>
    </r>
    <r>
      <rPr>
        <b/>
        <sz val="11"/>
        <rFont val="Segoe UI"/>
        <family val="2"/>
      </rPr>
      <t xml:space="preserve">
</t>
    </r>
    <r>
      <rPr>
        <sz val="11"/>
        <rFont val="Segoe UI"/>
        <family val="2"/>
      </rPr>
      <t>I101Copy Item
I102 Quote Item
I103 Statement Item
I106 Media Single Image Only Item
I108 Link List Item</t>
    </r>
  </si>
  <si>
    <r>
      <rPr>
        <b/>
        <sz val="11"/>
        <rFont val="Segoe UI"/>
        <family val="2"/>
      </rPr>
      <t>Validation, that</t>
    </r>
    <r>
      <rPr>
        <sz val="11"/>
        <rFont val="Segoe UI"/>
        <family val="2"/>
      </rPr>
      <t xml:space="preserve">
- a S117 with its items can be </t>
    </r>
    <r>
      <rPr>
        <b/>
        <sz val="11"/>
        <rFont val="Segoe UI"/>
        <family val="2"/>
      </rPr>
      <t>created</t>
    </r>
    <r>
      <rPr>
        <sz val="11"/>
        <rFont val="Segoe UI"/>
        <family val="2"/>
      </rPr>
      <t xml:space="preserve"> 
- arranges a list of I117 accordion itemsg
- is saved</t>
    </r>
  </si>
  <si>
    <r>
      <t xml:space="preserve">S117 Accordion Section
</t>
    </r>
    <r>
      <rPr>
        <sz val="11"/>
        <color theme="1"/>
        <rFont val="Segoe UI"/>
        <family val="2"/>
      </rPr>
      <t>Item: Heading 
Richtext Simple Element
Richtext Full Element</t>
    </r>
  </si>
  <si>
    <r>
      <rPr>
        <b/>
        <sz val="11"/>
        <rFont val="Segoe UI"/>
        <family val="2"/>
      </rPr>
      <t>Validation, that</t>
    </r>
    <r>
      <rPr>
        <sz val="11"/>
        <rFont val="Segoe UI"/>
        <family val="2"/>
      </rPr>
      <t xml:space="preserve">
- a S118 with its items can be </t>
    </r>
    <r>
      <rPr>
        <b/>
        <sz val="11"/>
        <rFont val="Segoe UI"/>
        <family val="2"/>
      </rPr>
      <t>created</t>
    </r>
    <r>
      <rPr>
        <sz val="11"/>
        <rFont val="Segoe UI"/>
        <family val="2"/>
      </rPr>
      <t xml:space="preserve">
- the countdown section consists of two states: a countdown module and prebooking teaser (after the countdown is finished)
-  the </t>
    </r>
    <r>
      <rPr>
        <b/>
        <sz val="11"/>
        <rFont val="Segoe UI"/>
        <family val="2"/>
      </rPr>
      <t>countdown element</t>
    </r>
    <r>
      <rPr>
        <sz val="11"/>
        <rFont val="Segoe UI"/>
        <family val="2"/>
      </rPr>
      <t xml:space="preserve"> arranges a background image, headline, copy-text, countdown, CTA button
- the </t>
    </r>
    <r>
      <rPr>
        <b/>
        <sz val="11"/>
        <rFont val="Segoe UI"/>
        <family val="2"/>
      </rPr>
      <t>pre-booking element</t>
    </r>
    <r>
      <rPr>
        <sz val="11"/>
        <rFont val="Segoe UI"/>
        <family val="2"/>
      </rPr>
      <t xml:space="preserve"> arranges a background image, headline, richtext simple, icon bullet points with icons and CTA button</t>
    </r>
    <r>
      <rPr>
        <strike/>
        <sz val="11"/>
        <rFont val="Segoe UI"/>
        <family val="2"/>
      </rPr>
      <t xml:space="preserve">
</t>
    </r>
    <r>
      <rPr>
        <sz val="11"/>
        <rFont val="Segoe UI"/>
        <family val="2"/>
      </rPr>
      <t>- is saved</t>
    </r>
  </si>
  <si>
    <r>
      <t xml:space="preserve">Countdown Element
</t>
    </r>
    <r>
      <rPr>
        <sz val="11"/>
        <color theme="1"/>
        <rFont val="Segoe UI"/>
        <family val="2"/>
      </rPr>
      <t>Item: Heading 
I101Copy Item
CTA Button
Item: Image 
Countdown element: date</t>
    </r>
    <r>
      <rPr>
        <b/>
        <sz val="11"/>
        <color theme="1"/>
        <rFont val="Segoe UI"/>
        <family val="2"/>
      </rPr>
      <t xml:space="preserve">
Pre-Booking Element
</t>
    </r>
    <r>
      <rPr>
        <sz val="11"/>
        <color theme="1"/>
        <rFont val="Segoe UI"/>
        <family val="2"/>
      </rPr>
      <t xml:space="preserve">Item: Heading 
Item: Richtext Simple
Icon Bullet Point Element 1: with CAR_FRONT Icon
Icon Bullet Point Element 2: with CONTACT_DEALER Icon
Icon Bullet Point Element 3: with DOWNLOAD Icon
Icon Bullet Point Element 4: with MAIL Icon
Icon Bullet Point Element 5: with CALENDAR Icon
Icon Bullet Point Element 6: with BROCHURE Icon
CTA Button
Item: Image </t>
    </r>
  </si>
  <si>
    <r>
      <rPr>
        <b/>
        <sz val="11"/>
        <rFont val="Segoe UI"/>
        <family val="2"/>
      </rPr>
      <t>Validation, that</t>
    </r>
    <r>
      <rPr>
        <sz val="11"/>
        <rFont val="Segoe UI"/>
        <family val="2"/>
      </rPr>
      <t xml:space="preserve">
- a S119 with its items can be </t>
    </r>
    <r>
      <rPr>
        <b/>
        <sz val="11"/>
        <rFont val="Segoe UI"/>
        <family val="2"/>
      </rPr>
      <t>created</t>
    </r>
    <r>
      <rPr>
        <sz val="11"/>
        <rFont val="Segoe UI"/>
        <family val="2"/>
      </rPr>
      <t xml:space="preserve">
- arranges a headline, a copy item and a CTA Button which provides a link to a newsletter signup form
- is saved</t>
    </r>
  </si>
  <si>
    <r>
      <t xml:space="preserve">S119 Newsletter Signup Section
</t>
    </r>
    <r>
      <rPr>
        <sz val="11"/>
        <rFont val="Segoe UI"/>
        <family val="2"/>
      </rPr>
      <t>Item: Heading 
Item: I101Copy Item</t>
    </r>
  </si>
  <si>
    <r>
      <rPr>
        <b/>
        <sz val="11"/>
        <rFont val="Segoe UI"/>
        <family val="2"/>
      </rPr>
      <t>Validation, that</t>
    </r>
    <r>
      <rPr>
        <sz val="11"/>
        <rFont val="Segoe UI"/>
        <family val="2"/>
      </rPr>
      <t xml:space="preserve">
- a S109 with its items can be </t>
    </r>
    <r>
      <rPr>
        <b/>
        <sz val="11"/>
        <rFont val="Segoe UI"/>
        <family val="2"/>
      </rPr>
      <t>modified</t>
    </r>
    <r>
      <rPr>
        <sz val="11"/>
        <rFont val="Segoe UI"/>
        <family val="2"/>
      </rPr>
      <t xml:space="preserve">
- arranges a headline and an image illustration
</t>
    </r>
  </si>
  <si>
    <r>
      <rPr>
        <b/>
        <sz val="11"/>
        <rFont val="Segoe UI"/>
        <family val="2"/>
      </rPr>
      <t>Validation, that</t>
    </r>
    <r>
      <rPr>
        <sz val="11"/>
        <rFont val="Segoe UI"/>
        <family val="2"/>
      </rPr>
      <t xml:space="preserve">
- the S109 Answers Stage is displayed on the </t>
    </r>
    <r>
      <rPr>
        <b/>
        <sz val="11"/>
        <rFont val="Segoe UI"/>
        <family val="2"/>
      </rPr>
      <t>publisher</t>
    </r>
  </si>
  <si>
    <r>
      <rPr>
        <b/>
        <sz val="11"/>
        <rFont val="Segoe UI"/>
        <family val="2"/>
      </rPr>
      <t>Validation, that</t>
    </r>
    <r>
      <rPr>
        <sz val="11"/>
        <rFont val="Segoe UI"/>
        <family val="2"/>
      </rPr>
      <t xml:space="preserve">
- the S101 Heading Section is displayed on the </t>
    </r>
    <r>
      <rPr>
        <b/>
        <sz val="11"/>
        <rFont val="Segoe UI"/>
        <family val="2"/>
      </rPr>
      <t>publisher</t>
    </r>
  </si>
  <si>
    <r>
      <rPr>
        <b/>
        <sz val="11"/>
        <rFont val="Segoe UI"/>
        <family val="2"/>
      </rPr>
      <t>Validation, that</t>
    </r>
    <r>
      <rPr>
        <sz val="11"/>
        <rFont val="Segoe UI"/>
        <family val="2"/>
      </rPr>
      <t xml:space="preserve">
- a S102 with its items can be </t>
    </r>
    <r>
      <rPr>
        <b/>
        <sz val="11"/>
        <rFont val="Segoe UI"/>
        <family val="2"/>
      </rPr>
      <t>modified</t>
    </r>
    <r>
      <rPr>
        <sz val="11"/>
        <rFont val="Segoe UI"/>
        <family val="2"/>
      </rPr>
      <t xml:space="preserve"> 
- arranges a headline and a column for items 
- Items: I101 copy item; I102 quote item;I103 statement item;I106 media single item ;I126 link list item
</t>
    </r>
  </si>
  <si>
    <r>
      <rPr>
        <b/>
        <sz val="11"/>
        <rFont val="Segoe UI"/>
        <family val="2"/>
      </rPr>
      <t>Validation, that</t>
    </r>
    <r>
      <rPr>
        <sz val="11"/>
        <rFont val="Segoe UI"/>
        <family val="2"/>
      </rPr>
      <t xml:space="preserve">
- the S102 Single Column Sectionis displayed on the </t>
    </r>
    <r>
      <rPr>
        <b/>
        <sz val="11"/>
        <rFont val="Segoe UI"/>
        <family val="2"/>
      </rPr>
      <t>publisher</t>
    </r>
  </si>
  <si>
    <r>
      <rPr>
        <b/>
        <sz val="11"/>
        <rFont val="Segoe UI"/>
        <family val="2"/>
      </rPr>
      <t>Validation, that</t>
    </r>
    <r>
      <rPr>
        <sz val="11"/>
        <rFont val="Segoe UI"/>
        <family val="2"/>
      </rPr>
      <t xml:space="preserve">
- the S102 Two Columns Section displayed on the </t>
    </r>
    <r>
      <rPr>
        <b/>
        <sz val="11"/>
        <rFont val="Segoe UI"/>
        <family val="2"/>
      </rPr>
      <t>publisher</t>
    </r>
  </si>
  <si>
    <r>
      <rPr>
        <b/>
        <sz val="11"/>
        <rFont val="Segoe UI"/>
        <family val="2"/>
      </rPr>
      <t>Validation, that</t>
    </r>
    <r>
      <rPr>
        <sz val="11"/>
        <rFont val="Segoe UI"/>
        <family val="2"/>
      </rPr>
      <t xml:space="preserve">
- a S103 with its items can be </t>
    </r>
    <r>
      <rPr>
        <b/>
        <sz val="11"/>
        <rFont val="Segoe UI"/>
        <family val="2"/>
      </rPr>
      <t>modified</t>
    </r>
    <r>
      <rPr>
        <sz val="11"/>
        <rFont val="Segoe UI"/>
        <family val="2"/>
      </rPr>
      <t xml:space="preserve"> 
- arranges a headline, copy item and a media element
</t>
    </r>
  </si>
  <si>
    <r>
      <rPr>
        <b/>
        <sz val="11"/>
        <rFont val="Segoe UI"/>
        <family val="2"/>
      </rPr>
      <t>Validation, that</t>
    </r>
    <r>
      <rPr>
        <sz val="11"/>
        <rFont val="Segoe UI"/>
        <family val="2"/>
      </rPr>
      <t xml:space="preserve">
- the S103 Copy Inset Media Section displayed on the </t>
    </r>
    <r>
      <rPr>
        <b/>
        <sz val="11"/>
        <rFont val="Segoe UI"/>
        <family val="2"/>
      </rPr>
      <t>publisher</t>
    </r>
  </si>
  <si>
    <r>
      <rPr>
        <b/>
        <sz val="11"/>
        <rFont val="Segoe UI"/>
        <family val="2"/>
      </rPr>
      <t>Validation, that</t>
    </r>
    <r>
      <rPr>
        <sz val="11"/>
        <rFont val="Segoe UI"/>
        <family val="2"/>
      </rPr>
      <t xml:space="preserve">
- the S105 Mood Gallery Section displayed on the </t>
    </r>
    <r>
      <rPr>
        <b/>
        <sz val="11"/>
        <rFont val="Segoe UI"/>
        <family val="2"/>
      </rPr>
      <t>publisher</t>
    </r>
  </si>
  <si>
    <r>
      <rPr>
        <b/>
        <sz val="11"/>
        <rFont val="Segoe UI"/>
        <family val="2"/>
      </rPr>
      <t>Validation, that</t>
    </r>
    <r>
      <rPr>
        <sz val="11"/>
        <rFont val="Segoe UI"/>
        <family val="2"/>
      </rPr>
      <t xml:space="preserve">
- a S107 with its items can be </t>
    </r>
    <r>
      <rPr>
        <b/>
        <sz val="11"/>
        <rFont val="Segoe UI"/>
        <family val="2"/>
      </rPr>
      <t>modified</t>
    </r>
    <r>
      <rPr>
        <sz val="11"/>
        <rFont val="Segoe UI"/>
        <family val="2"/>
      </rPr>
      <t xml:space="preserve"> 
- arranges copy item in a specific layout</t>
    </r>
  </si>
  <si>
    <r>
      <rPr>
        <b/>
        <sz val="11"/>
        <rFont val="Segoe UI"/>
        <family val="2"/>
      </rPr>
      <t>Validation, that</t>
    </r>
    <r>
      <rPr>
        <sz val="11"/>
        <rFont val="Segoe UI"/>
        <family val="2"/>
      </rPr>
      <t xml:space="preserve">
- the S107 Intro Copy Section displayed on the </t>
    </r>
    <r>
      <rPr>
        <b/>
        <sz val="11"/>
        <rFont val="Segoe UI"/>
        <family val="2"/>
      </rPr>
      <t>publisher</t>
    </r>
  </si>
  <si>
    <r>
      <rPr>
        <b/>
        <sz val="11"/>
        <rFont val="Segoe UI"/>
        <family val="2"/>
      </rPr>
      <t>Validation, that</t>
    </r>
    <r>
      <rPr>
        <sz val="11"/>
        <rFont val="Segoe UI"/>
        <family val="2"/>
      </rPr>
      <t xml:space="preserve">
- the S108 Editorial Teaser Section displayed on the </t>
    </r>
    <r>
      <rPr>
        <b/>
        <sz val="11"/>
        <rFont val="Segoe UI"/>
        <family val="2"/>
      </rPr>
      <t>publisher</t>
    </r>
  </si>
  <si>
    <r>
      <t xml:space="preserve">Validation, that
- the S116 Section Group in displayed on the </t>
    </r>
    <r>
      <rPr>
        <b/>
        <sz val="11"/>
        <rFont val="Segoe UI"/>
        <family val="2"/>
      </rPr>
      <t>publisher</t>
    </r>
  </si>
  <si>
    <r>
      <t xml:space="preserve">Validation, that
- a S117 with its items can be </t>
    </r>
    <r>
      <rPr>
        <b/>
        <sz val="11"/>
        <rFont val="Segoe UI"/>
        <family val="2"/>
      </rPr>
      <t>modified</t>
    </r>
    <r>
      <rPr>
        <sz val="11"/>
        <rFont val="Segoe UI"/>
        <family val="2"/>
      </rPr>
      <t xml:space="preserve"> 
- arranges a list of I117 accordion items
</t>
    </r>
  </si>
  <si>
    <r>
      <t xml:space="preserve">Validation, that
- the S117 Accordion Section is displayed on the </t>
    </r>
    <r>
      <rPr>
        <b/>
        <sz val="11"/>
        <rFont val="Segoe UI"/>
        <family val="2"/>
      </rPr>
      <t>publisher</t>
    </r>
  </si>
  <si>
    <r>
      <t xml:space="preserve">Validation, that
- a S118 with its items can be </t>
    </r>
    <r>
      <rPr>
        <b/>
        <sz val="11"/>
        <rFont val="Segoe UI"/>
        <family val="2"/>
      </rPr>
      <t>modified</t>
    </r>
    <r>
      <rPr>
        <sz val="11"/>
        <rFont val="Segoe UI"/>
        <family val="2"/>
      </rPr>
      <t xml:space="preserve">
- the countdown section consists of two states: a countdown module and prebooking teaser (after the countdown is finished)
-  the </t>
    </r>
    <r>
      <rPr>
        <b/>
        <sz val="11"/>
        <rFont val="Segoe UI"/>
        <family val="2"/>
      </rPr>
      <t>countdown element</t>
    </r>
    <r>
      <rPr>
        <sz val="11"/>
        <rFont val="Segoe UI"/>
        <family val="2"/>
      </rPr>
      <t xml:space="preserve"> arranges a background image, headline, copy-text, countdown, CTA button
- the </t>
    </r>
    <r>
      <rPr>
        <b/>
        <sz val="11"/>
        <rFont val="Segoe UI"/>
        <family val="2"/>
      </rPr>
      <t>pre-booking element</t>
    </r>
    <r>
      <rPr>
        <sz val="11"/>
        <rFont val="Segoe UI"/>
        <family val="2"/>
      </rPr>
      <t xml:space="preserve"> arranges a background image, headline, richtext simple, icon bullet points with icons and CTA button
</t>
    </r>
  </si>
  <si>
    <r>
      <t xml:space="preserve">Validation, that
- a S118 with its items can be </t>
    </r>
    <r>
      <rPr>
        <b/>
        <sz val="11"/>
        <rFont val="Segoe UI"/>
        <family val="2"/>
      </rPr>
      <t>created</t>
    </r>
    <r>
      <rPr>
        <sz val="11"/>
        <rFont val="Segoe UI"/>
        <family val="2"/>
      </rPr>
      <t xml:space="preserve">
- the countdown section consists of two states: a countdown module and prebooking teaser (after the countdown is finished)
-  the </t>
    </r>
    <r>
      <rPr>
        <b/>
        <sz val="11"/>
        <rFont val="Segoe UI"/>
        <family val="2"/>
      </rPr>
      <t>countdown element</t>
    </r>
    <r>
      <rPr>
        <sz val="11"/>
        <rFont val="Segoe UI"/>
        <family val="2"/>
      </rPr>
      <t xml:space="preserve"> arranges a background image, headline, copy-text, countdown, CTA button
- the </t>
    </r>
    <r>
      <rPr>
        <b/>
        <sz val="11"/>
        <rFont val="Segoe UI"/>
        <family val="2"/>
      </rPr>
      <t>pre-booking element</t>
    </r>
    <r>
      <rPr>
        <sz val="11"/>
        <rFont val="Segoe UI"/>
        <family val="2"/>
      </rPr>
      <t xml:space="preserve"> arranges a background image, headline, richtext simple, icon bullet points with icons and CTA button
</t>
    </r>
    <r>
      <rPr>
        <strike/>
        <sz val="11"/>
        <rFont val="Segoe UI"/>
        <family val="2"/>
      </rPr>
      <t xml:space="preserve">
</t>
    </r>
    <r>
      <rPr>
        <sz val="11"/>
        <rFont val="Segoe UI"/>
        <family val="2"/>
      </rPr>
      <t>- is saved</t>
    </r>
  </si>
  <si>
    <r>
      <t xml:space="preserve">Validation, that
- a S119 with its items can be </t>
    </r>
    <r>
      <rPr>
        <b/>
        <sz val="11"/>
        <rFont val="Segoe UI"/>
        <family val="2"/>
      </rPr>
      <t>modified</t>
    </r>
    <r>
      <rPr>
        <sz val="11"/>
        <rFont val="Segoe UI"/>
        <family val="2"/>
      </rPr>
      <t xml:space="preserve">
- arranges a headline, a copy item and a CTA Button which provides a link to a newsletter signup form
</t>
    </r>
  </si>
  <si>
    <r>
      <t xml:space="preserve">Validation, that
- the S119 Newsletter Signup Section is displayed on the </t>
    </r>
    <r>
      <rPr>
        <b/>
        <sz val="11"/>
        <rFont val="Segoe UI"/>
        <family val="2"/>
      </rPr>
      <t>publisher</t>
    </r>
  </si>
  <si>
    <r>
      <rPr>
        <b/>
        <sz val="11"/>
        <rFont val="Segoe UI"/>
        <family val="2"/>
      </rPr>
      <t>Validation, that</t>
    </r>
    <r>
      <rPr>
        <sz val="11"/>
        <rFont val="Segoe UI"/>
        <family val="2"/>
      </rPr>
      <t xml:space="preserve">
- a S109 with its items can be </t>
    </r>
    <r>
      <rPr>
        <b/>
        <sz val="11"/>
        <rFont val="Segoe UI"/>
        <family val="2"/>
      </rPr>
      <t>deleted</t>
    </r>
    <r>
      <rPr>
        <sz val="11"/>
        <rFont val="Segoe UI"/>
        <family val="2"/>
      </rPr>
      <t xml:space="preserve">
- arranges a headline and an image illustration
</t>
    </r>
  </si>
  <si>
    <r>
      <rPr>
        <b/>
        <sz val="11"/>
        <rFont val="Segoe UI"/>
        <family val="2"/>
      </rPr>
      <t>Validation, that</t>
    </r>
    <r>
      <rPr>
        <sz val="11"/>
        <rFont val="Segoe UI"/>
        <family val="2"/>
      </rPr>
      <t xml:space="preserve">
- the Editorial Page is displayed without S109 Answers Stage on the </t>
    </r>
    <r>
      <rPr>
        <b/>
        <sz val="11"/>
        <rFont val="Segoe UI"/>
        <family val="2"/>
      </rPr>
      <t>publisher</t>
    </r>
  </si>
  <si>
    <r>
      <rPr>
        <b/>
        <sz val="11"/>
        <rFont val="Segoe UI"/>
        <family val="2"/>
      </rPr>
      <t>Validation, that</t>
    </r>
    <r>
      <rPr>
        <sz val="11"/>
        <rFont val="Segoe UI"/>
        <family val="2"/>
      </rPr>
      <t xml:space="preserve">
- the Editorial Page is displayed without S101 Heading Section on the </t>
    </r>
    <r>
      <rPr>
        <b/>
        <sz val="11"/>
        <rFont val="Segoe UI"/>
        <family val="2"/>
      </rPr>
      <t>publisher</t>
    </r>
  </si>
  <si>
    <r>
      <rPr>
        <b/>
        <sz val="11"/>
        <rFont val="Segoe UI"/>
        <family val="2"/>
      </rPr>
      <t>Validation, that</t>
    </r>
    <r>
      <rPr>
        <sz val="11"/>
        <rFont val="Segoe UI"/>
        <family val="2"/>
      </rPr>
      <t xml:space="preserve">
- the Editorial Page is displayed without S102 Single Column Section on the </t>
    </r>
    <r>
      <rPr>
        <b/>
        <sz val="11"/>
        <rFont val="Segoe UI"/>
        <family val="2"/>
      </rPr>
      <t>publisher</t>
    </r>
  </si>
  <si>
    <r>
      <rPr>
        <b/>
        <sz val="11"/>
        <rFont val="Segoe UI"/>
        <family val="2"/>
      </rPr>
      <t>Validation, that</t>
    </r>
    <r>
      <rPr>
        <sz val="11"/>
        <rFont val="Segoe UI"/>
        <family val="2"/>
      </rPr>
      <t xml:space="preserve">
- the Editorial Page is displayed without S102 Two Columns Section on the </t>
    </r>
    <r>
      <rPr>
        <b/>
        <sz val="11"/>
        <rFont val="Segoe UI"/>
        <family val="2"/>
      </rPr>
      <t>publisher</t>
    </r>
  </si>
  <si>
    <r>
      <rPr>
        <b/>
        <sz val="11"/>
        <rFont val="Segoe UI"/>
        <family val="2"/>
      </rPr>
      <t>Validation, that</t>
    </r>
    <r>
      <rPr>
        <sz val="11"/>
        <rFont val="Segoe UI"/>
        <family val="2"/>
      </rPr>
      <t xml:space="preserve">
- a S103 with its items can be </t>
    </r>
    <r>
      <rPr>
        <b/>
        <sz val="11"/>
        <rFont val="Segoe UI"/>
        <family val="2"/>
      </rPr>
      <t>deleted</t>
    </r>
    <r>
      <rPr>
        <sz val="11"/>
        <rFont val="Segoe UI"/>
        <family val="2"/>
      </rPr>
      <t xml:space="preserve"> 
- arranges a headline, copy item and a media element
</t>
    </r>
  </si>
  <si>
    <r>
      <rPr>
        <b/>
        <sz val="11"/>
        <rFont val="Segoe UI"/>
        <family val="2"/>
      </rPr>
      <t>Validation, that</t>
    </r>
    <r>
      <rPr>
        <sz val="11"/>
        <rFont val="Segoe UI"/>
        <family val="2"/>
      </rPr>
      <t xml:space="preserve">
- the Editorial Page is displayed without S103 Copy Inset Media Section on the </t>
    </r>
    <r>
      <rPr>
        <b/>
        <sz val="11"/>
        <rFont val="Segoe UI"/>
        <family val="2"/>
      </rPr>
      <t>publisher</t>
    </r>
  </si>
  <si>
    <r>
      <rPr>
        <b/>
        <sz val="11"/>
        <rFont val="Segoe UI"/>
        <family val="2"/>
      </rPr>
      <t>Validation, that</t>
    </r>
    <r>
      <rPr>
        <sz val="11"/>
        <rFont val="Segoe UI"/>
        <family val="2"/>
      </rPr>
      <t xml:space="preserve">
- the Editorial Page is displayed without S105 Mood Gallery Section on the </t>
    </r>
    <r>
      <rPr>
        <b/>
        <sz val="11"/>
        <rFont val="Segoe UI"/>
        <family val="2"/>
      </rPr>
      <t>publisher</t>
    </r>
  </si>
  <si>
    <r>
      <rPr>
        <b/>
        <sz val="11"/>
        <rFont val="Segoe UI"/>
        <family val="2"/>
      </rPr>
      <t>Validation, that</t>
    </r>
    <r>
      <rPr>
        <sz val="11"/>
        <rFont val="Segoe UI"/>
        <family val="2"/>
      </rPr>
      <t xml:space="preserve">
- a S107 with its items can be </t>
    </r>
    <r>
      <rPr>
        <b/>
        <sz val="11"/>
        <rFont val="Segoe UI"/>
        <family val="2"/>
      </rPr>
      <t>deleted</t>
    </r>
    <r>
      <rPr>
        <sz val="11"/>
        <rFont val="Segoe UI"/>
        <family val="2"/>
      </rPr>
      <t xml:space="preserve"> 
- arranges copy item in a specific layout</t>
    </r>
  </si>
  <si>
    <r>
      <rPr>
        <b/>
        <sz val="11"/>
        <rFont val="Segoe UI"/>
        <family val="2"/>
      </rPr>
      <t>Validation, that</t>
    </r>
    <r>
      <rPr>
        <sz val="11"/>
        <rFont val="Segoe UI"/>
        <family val="2"/>
      </rPr>
      <t xml:space="preserve">
- the Editorial Page is displayed without S107 Intro Copy Section on the </t>
    </r>
    <r>
      <rPr>
        <b/>
        <sz val="11"/>
        <rFont val="Segoe UI"/>
        <family val="2"/>
      </rPr>
      <t>publisher</t>
    </r>
  </si>
  <si>
    <r>
      <rPr>
        <b/>
        <sz val="11"/>
        <rFont val="Segoe UI"/>
        <family val="2"/>
      </rPr>
      <t>Validation, that</t>
    </r>
    <r>
      <rPr>
        <sz val="11"/>
        <rFont val="Segoe UI"/>
        <family val="2"/>
      </rPr>
      <t xml:space="preserve">
- the Editorial Page is displayed without S108 Editorial Teaser Section on the </t>
    </r>
    <r>
      <rPr>
        <b/>
        <sz val="11"/>
        <rFont val="Segoe UI"/>
        <family val="2"/>
      </rPr>
      <t>publisher</t>
    </r>
  </si>
  <si>
    <r>
      <rPr>
        <b/>
        <sz val="11"/>
        <rFont val="Segoe UI"/>
        <family val="2"/>
      </rPr>
      <t>Validation, that</t>
    </r>
    <r>
      <rPr>
        <sz val="11"/>
        <rFont val="Segoe UI"/>
        <family val="2"/>
      </rPr>
      <t xml:space="preserve">
- the Editorial Page is displayed without S116 Section Group on the </t>
    </r>
    <r>
      <rPr>
        <b/>
        <sz val="11"/>
        <rFont val="Segoe UI"/>
        <family val="2"/>
      </rPr>
      <t>publisher</t>
    </r>
  </si>
  <si>
    <r>
      <rPr>
        <b/>
        <sz val="11"/>
        <rFont val="Segoe UI"/>
        <family val="2"/>
      </rPr>
      <t>Validation, that</t>
    </r>
    <r>
      <rPr>
        <sz val="11"/>
        <rFont val="Segoe UI"/>
        <family val="2"/>
      </rPr>
      <t xml:space="preserve">
- a S117 with its items can be </t>
    </r>
    <r>
      <rPr>
        <b/>
        <sz val="11"/>
        <rFont val="Segoe UI"/>
        <family val="2"/>
      </rPr>
      <t>deleted</t>
    </r>
    <r>
      <rPr>
        <sz val="11"/>
        <rFont val="Segoe UI"/>
        <family val="2"/>
      </rPr>
      <t xml:space="preserve"> 
- arranges a list of I117 accordion items
</t>
    </r>
  </si>
  <si>
    <r>
      <rPr>
        <b/>
        <sz val="11"/>
        <rFont val="Segoe UI"/>
        <family val="2"/>
      </rPr>
      <t>Validation, that</t>
    </r>
    <r>
      <rPr>
        <sz val="11"/>
        <rFont val="Segoe UI"/>
        <family val="2"/>
      </rPr>
      <t xml:space="preserve">
- the Editorial Page is displayed without S117 Accordion Section on the </t>
    </r>
    <r>
      <rPr>
        <b/>
        <sz val="11"/>
        <rFont val="Segoe UI"/>
        <family val="2"/>
      </rPr>
      <t>publisher</t>
    </r>
  </si>
  <si>
    <r>
      <rPr>
        <b/>
        <sz val="11"/>
        <rFont val="Segoe UI"/>
        <family val="2"/>
      </rPr>
      <t>Validation, that</t>
    </r>
    <r>
      <rPr>
        <sz val="11"/>
        <rFont val="Segoe UI"/>
        <family val="2"/>
      </rPr>
      <t xml:space="preserve">
- a S118 with its items can be </t>
    </r>
    <r>
      <rPr>
        <b/>
        <sz val="11"/>
        <rFont val="Segoe UI"/>
        <family val="2"/>
      </rPr>
      <t>deleted</t>
    </r>
    <r>
      <rPr>
        <sz val="11"/>
        <rFont val="Segoe UI"/>
        <family val="2"/>
      </rPr>
      <t xml:space="preserve">
- the countdown section consists of two states: a countdown module and prebooking teaser (after the countdown is finished)
-  the </t>
    </r>
    <r>
      <rPr>
        <b/>
        <sz val="11"/>
        <rFont val="Segoe UI"/>
        <family val="2"/>
      </rPr>
      <t>countdown element</t>
    </r>
    <r>
      <rPr>
        <sz val="11"/>
        <rFont val="Segoe UI"/>
        <family val="2"/>
      </rPr>
      <t xml:space="preserve"> arranges a background image, headline, copy-text, countdown, CTA button
- the </t>
    </r>
    <r>
      <rPr>
        <b/>
        <sz val="11"/>
        <rFont val="Segoe UI"/>
        <family val="2"/>
      </rPr>
      <t>pre-booking element</t>
    </r>
    <r>
      <rPr>
        <sz val="11"/>
        <rFont val="Segoe UI"/>
        <family val="2"/>
      </rPr>
      <t xml:space="preserve"> arranges a background image, headline, richtext simple, icon bullet points with icons and CTA button
</t>
    </r>
  </si>
  <si>
    <r>
      <rPr>
        <b/>
        <sz val="11"/>
        <rFont val="Segoe UI"/>
        <family val="2"/>
      </rPr>
      <t>Validation, that</t>
    </r>
    <r>
      <rPr>
        <sz val="11"/>
        <rFont val="Segoe UI"/>
        <family val="2"/>
      </rPr>
      <t xml:space="preserve">
- the Editorial Page is displayed without S118 Countdown section on the </t>
    </r>
    <r>
      <rPr>
        <b/>
        <sz val="11"/>
        <rFont val="Segoe UI"/>
        <family val="2"/>
      </rPr>
      <t>publisher</t>
    </r>
  </si>
  <si>
    <r>
      <rPr>
        <b/>
        <sz val="11"/>
        <rFont val="Segoe UI"/>
        <family val="2"/>
      </rPr>
      <t>Validation, that</t>
    </r>
    <r>
      <rPr>
        <sz val="11"/>
        <rFont val="Segoe UI"/>
        <family val="2"/>
      </rPr>
      <t xml:space="preserve">
- the Editorial Page is displayed without S119 Newsletter Signup Section on the </t>
    </r>
    <r>
      <rPr>
        <b/>
        <sz val="11"/>
        <rFont val="Segoe UI"/>
        <family val="2"/>
      </rPr>
      <t>publisher</t>
    </r>
  </si>
  <si>
    <r>
      <rPr>
        <b/>
        <sz val="11"/>
        <rFont val="Segoe UI"/>
        <family val="2"/>
      </rPr>
      <t>Validation, that</t>
    </r>
    <r>
      <rPr>
        <sz val="11"/>
        <rFont val="Segoe UI"/>
        <family val="2"/>
      </rPr>
      <t xml:space="preserve">
- a S106 with its items can be </t>
    </r>
    <r>
      <rPr>
        <b/>
        <sz val="11"/>
        <rFont val="Segoe UI"/>
        <family val="2"/>
      </rPr>
      <t>created</t>
    </r>
    <r>
      <rPr>
        <sz val="11"/>
        <rFont val="Segoe UI"/>
        <family val="2"/>
      </rPr>
      <t xml:space="preserve"> 
- arranges a headline, a media element and a copy item</t>
    </r>
    <r>
      <rPr>
        <strike/>
        <sz val="11"/>
        <rFont val="Segoe UI"/>
        <family val="2"/>
      </rPr>
      <t xml:space="preserve">
</t>
    </r>
    <r>
      <rPr>
        <sz val="11"/>
        <rFont val="Segoe UI"/>
        <family val="2"/>
      </rPr>
      <t>- is saved</t>
    </r>
  </si>
  <si>
    <r>
      <t xml:space="preserve">S106 Editorial Stage Section
</t>
    </r>
    <r>
      <rPr>
        <sz val="11"/>
        <color theme="1"/>
        <rFont val="Segoe UI"/>
        <family val="2"/>
      </rPr>
      <t>Item: Media Element
Item: Heading 
Item: I101Copy Item</t>
    </r>
  </si>
  <si>
    <r>
      <rPr>
        <b/>
        <sz val="11"/>
        <rFont val="Segoe UI"/>
        <family val="2"/>
      </rPr>
      <t>Validation, that</t>
    </r>
    <r>
      <rPr>
        <sz val="11"/>
        <rFont val="Segoe UI"/>
        <family val="2"/>
      </rPr>
      <t xml:space="preserve">
- a S113 with its items can be </t>
    </r>
    <r>
      <rPr>
        <b/>
        <sz val="11"/>
        <rFont val="Segoe UI"/>
        <family val="2"/>
      </rPr>
      <t>created</t>
    </r>
    <r>
      <rPr>
        <sz val="11"/>
        <rFont val="Segoe UI"/>
        <family val="2"/>
      </rPr>
      <t xml:space="preserve"> 
- arranges a headline and between 2 and 4 Editorial Teaser Elements</t>
    </r>
    <r>
      <rPr>
        <strike/>
        <sz val="11"/>
        <rFont val="Segoe UI"/>
        <family val="2"/>
      </rPr>
      <t xml:space="preserve">
</t>
    </r>
    <r>
      <rPr>
        <sz val="11"/>
        <rFont val="Segoe UI"/>
        <family val="2"/>
      </rPr>
      <t>- is saved</t>
    </r>
  </si>
  <si>
    <r>
      <t xml:space="preserve">S113 First Level Teaser
</t>
    </r>
    <r>
      <rPr>
        <sz val="11"/>
        <color theme="1"/>
        <rFont val="Segoe UI"/>
        <family val="2"/>
      </rPr>
      <t>Item: Heading 
Editorial Teaser Element 1
Editorial Teaser Element 2</t>
    </r>
  </si>
  <si>
    <r>
      <rPr>
        <b/>
        <sz val="11"/>
        <rFont val="Segoe UI"/>
        <family val="2"/>
      </rPr>
      <t>Validation, that</t>
    </r>
    <r>
      <rPr>
        <sz val="11"/>
        <rFont val="Segoe UI"/>
        <family val="2"/>
      </rPr>
      <t xml:space="preserve">
- a S115 with its items can be </t>
    </r>
    <r>
      <rPr>
        <b/>
        <sz val="11"/>
        <rFont val="Segoe UI"/>
        <family val="2"/>
      </rPr>
      <t>created</t>
    </r>
    <r>
      <rPr>
        <sz val="11"/>
        <rFont val="Segoe UI"/>
        <family val="2"/>
      </rPr>
      <t xml:space="preserve"> 
- arranges a focus teaser element
- is saved</t>
    </r>
  </si>
  <si>
    <r>
      <t xml:space="preserve">S115 Focus Teaser Section 
</t>
    </r>
    <r>
      <rPr>
        <sz val="11"/>
        <color theme="1"/>
        <rFont val="Segoe UI"/>
        <family val="2"/>
      </rPr>
      <t>Editorial Teaser Element 1</t>
    </r>
  </si>
  <si>
    <r>
      <rPr>
        <b/>
        <sz val="11"/>
        <rFont val="Segoe UI"/>
        <family val="2"/>
      </rPr>
      <t>Validation, that</t>
    </r>
    <r>
      <rPr>
        <sz val="11"/>
        <rFont val="Segoe UI"/>
        <family val="2"/>
      </rPr>
      <t xml:space="preserve">
- a S123 with its items can be </t>
    </r>
    <r>
      <rPr>
        <b/>
        <sz val="11"/>
        <rFont val="Segoe UI"/>
        <family val="2"/>
      </rPr>
      <t>created</t>
    </r>
    <r>
      <rPr>
        <sz val="11"/>
        <rFont val="Segoe UI"/>
        <family val="2"/>
      </rPr>
      <t xml:space="preserve">
- arranges an optional heading,  copy item and a grid-like view of teasers
- is saved</t>
    </r>
  </si>
  <si>
    <r>
      <t xml:space="preserve">S123 Second Level Teaser Section
</t>
    </r>
    <r>
      <rPr>
        <sz val="11"/>
        <color theme="1"/>
        <rFont val="Segoe UI"/>
        <family val="2"/>
      </rPr>
      <t>Item: Heading 
Item: I101Copy Item
Item: grid-like view teaser</t>
    </r>
  </si>
  <si>
    <r>
      <rPr>
        <b/>
        <sz val="11"/>
        <rFont val="Segoe UI"/>
        <family val="2"/>
      </rPr>
      <t>Validation, that</t>
    </r>
    <r>
      <rPr>
        <sz val="11"/>
        <rFont val="Segoe UI"/>
        <family val="2"/>
      </rPr>
      <t xml:space="preserve">
- a S116 with its items can be </t>
    </r>
    <r>
      <rPr>
        <b/>
        <sz val="11"/>
        <rFont val="Segoe UI"/>
        <family val="2"/>
      </rPr>
      <t>created</t>
    </r>
    <r>
      <rPr>
        <sz val="11"/>
        <rFont val="Segoe UI"/>
        <family val="2"/>
      </rPr>
      <t xml:space="preserve"> 
- arranges a headline and sections
- is saved</t>
    </r>
  </si>
  <si>
    <r>
      <t xml:space="preserve">S116 Section Group
S108 Editorial Teaser Section
</t>
    </r>
    <r>
      <rPr>
        <sz val="11"/>
        <color theme="1"/>
        <rFont val="Segoe UI"/>
        <family val="2"/>
      </rPr>
      <t xml:space="preserve">Item: Heading 
Item: Editorial teaser 1
Item: Editorial teaser 2
Item: Editorial teaser 3
</t>
    </r>
    <r>
      <rPr>
        <b/>
        <sz val="11"/>
        <color theme="1"/>
        <rFont val="Segoe UI"/>
        <family val="2"/>
      </rPr>
      <t xml:space="preserve">S101 Heading Section
</t>
    </r>
    <r>
      <rPr>
        <sz val="11"/>
        <color theme="1"/>
        <rFont val="Segoe UI"/>
        <family val="2"/>
      </rPr>
      <t>Item: Heading 
Item: I101Copy Item</t>
    </r>
  </si>
  <si>
    <r>
      <rPr>
        <b/>
        <sz val="11"/>
        <rFont val="Segoe UI"/>
        <family val="2"/>
      </rPr>
      <t>Validation, that</t>
    </r>
    <r>
      <rPr>
        <sz val="11"/>
        <rFont val="Segoe UI"/>
        <family val="2"/>
      </rPr>
      <t xml:space="preserve">
- a S117 with its items can be </t>
    </r>
    <r>
      <rPr>
        <b/>
        <sz val="11"/>
        <rFont val="Segoe UI"/>
        <family val="2"/>
      </rPr>
      <t>created</t>
    </r>
    <r>
      <rPr>
        <sz val="11"/>
        <rFont val="Segoe UI"/>
        <family val="2"/>
      </rPr>
      <t xml:space="preserve"> 
- arranges a I117 accordion item
- is saved</t>
    </r>
  </si>
  <si>
    <r>
      <t xml:space="preserve">S117 Accordion Section
</t>
    </r>
    <r>
      <rPr>
        <sz val="11"/>
        <color theme="1"/>
        <rFont val="Segoe UI"/>
        <family val="2"/>
      </rPr>
      <t>Item: Heading 
Item: I117Accordion Item 1
Item: Richtext Simple
Item: Richtext Full
Item: I117Accordion Item 2
Item: Richtext Simple
Item: Richtext Full 
Item: I117Accordion Item 3
Item: Richtext Simple
Item: Richtext Full</t>
    </r>
  </si>
  <si>
    <r>
      <rPr>
        <b/>
        <sz val="11"/>
        <rFont val="Segoe UI"/>
        <family val="2"/>
      </rPr>
      <t>Validation, that</t>
    </r>
    <r>
      <rPr>
        <sz val="11"/>
        <rFont val="Segoe UI"/>
        <family val="2"/>
      </rPr>
      <t xml:space="preserve">
- a S124 with its cells can be </t>
    </r>
    <r>
      <rPr>
        <b/>
        <sz val="11"/>
        <rFont val="Segoe UI"/>
        <family val="2"/>
      </rPr>
      <t>created</t>
    </r>
    <r>
      <rPr>
        <sz val="11"/>
        <rFont val="Segoe UI"/>
        <family val="2"/>
      </rPr>
      <t xml:space="preserve">
- arranges empty table, image table, merge column merge row and richtext table cell
- is saved</t>
    </r>
  </si>
  <si>
    <r>
      <t xml:space="preserve">S124 Table Section
</t>
    </r>
    <r>
      <rPr>
        <sz val="11"/>
        <rFont val="Segoe UI"/>
        <family val="2"/>
      </rPr>
      <t>Row Table Element 1: with 4 Richtext Table Cells
Row Table Element 2: with 4 Empty Table Cells
Row Table Element 3: with 4 Richtext Table Cells
Row Table Element 4: with 4 Image Table Cells</t>
    </r>
  </si>
  <si>
    <r>
      <rPr>
        <b/>
        <sz val="11"/>
        <rFont val="Segoe UI"/>
        <family val="2"/>
      </rPr>
      <t>Validation, that</t>
    </r>
    <r>
      <rPr>
        <sz val="11"/>
        <rFont val="Segoe UI"/>
        <family val="2"/>
      </rPr>
      <t xml:space="preserve">
- a S126 with its items can be </t>
    </r>
    <r>
      <rPr>
        <b/>
        <sz val="11"/>
        <rFont val="Segoe UI"/>
        <family val="2"/>
      </rPr>
      <t>created</t>
    </r>
    <r>
      <rPr>
        <sz val="11"/>
        <rFont val="Segoe UI"/>
        <family val="2"/>
      </rPr>
      <t xml:space="preserve">
- integrates an external website in a page
- is saved</t>
    </r>
  </si>
  <si>
    <r>
      <t xml:space="preserve">S126 Iframe Integrator Section
</t>
    </r>
    <r>
      <rPr>
        <sz val="11"/>
        <rFont val="Segoe UI"/>
        <family val="2"/>
      </rPr>
      <t>Item: external URL
- https://webspecial.volkswagen.de/emobility/test-lsf 
- https://trml1m.axshare.com/#id=fup9js&amp;p=page_1&amp;c=1
- https://hef7jn.axshare.com/#id=ptypxa&amp;p=page_1&amp;c=1
Item: Iframe heights by breakpoints
Item: Layout for the column</t>
    </r>
  </si>
  <si>
    <r>
      <rPr>
        <b/>
        <sz val="11"/>
        <rFont val="Segoe UI"/>
        <family val="2"/>
      </rPr>
      <t>Validation, that</t>
    </r>
    <r>
      <rPr>
        <sz val="11"/>
        <rFont val="Segoe UI"/>
        <family val="2"/>
      </rPr>
      <t xml:space="preserve">
- a S111 with its items can be </t>
    </r>
    <r>
      <rPr>
        <b/>
        <sz val="11"/>
        <rFont val="Segoe UI"/>
        <family val="2"/>
      </rPr>
      <t>created</t>
    </r>
    <r>
      <rPr>
        <sz val="11"/>
        <rFont val="Segoe UI"/>
        <family val="2"/>
      </rPr>
      <t xml:space="preserve"> 
- arranges a pro / contra item with a headline, copy item, label, statement, description and image
- is saved</t>
    </r>
  </si>
  <si>
    <r>
      <t xml:space="preserve">S111 Pros and Cons Sectio
</t>
    </r>
    <r>
      <rPr>
        <sz val="11"/>
        <color theme="1"/>
        <rFont val="Segoe UI"/>
        <family val="2"/>
      </rPr>
      <t>Item: Heading n
Pro/Contra item 
Item: I101Copy Item
Item: Richtext Simple
Item: Richtext Simple
Item: Richtext Simple
Item: Richtext Simple
Item: Richtext Full
Item: image</t>
    </r>
  </si>
  <si>
    <r>
      <rPr>
        <b/>
        <sz val="11"/>
        <rFont val="Segoe UI"/>
        <family val="2"/>
      </rPr>
      <t>Validation, that</t>
    </r>
    <r>
      <rPr>
        <sz val="11"/>
        <rFont val="Segoe UI"/>
        <family val="2"/>
      </rPr>
      <t xml:space="preserve">
- a S112 with its items can be </t>
    </r>
    <r>
      <rPr>
        <b/>
        <sz val="11"/>
        <rFont val="Segoe UI"/>
        <family val="2"/>
      </rPr>
      <t>created</t>
    </r>
    <r>
      <rPr>
        <sz val="11"/>
        <rFont val="Segoe UI"/>
        <family val="2"/>
      </rPr>
      <t xml:space="preserve"> 
- arranges a headline, copy item and I111 Step by Step Containerchild 
- is saved</t>
    </r>
  </si>
  <si>
    <r>
      <t xml:space="preserve">S112 Step By Step Section
</t>
    </r>
    <r>
      <rPr>
        <sz val="11"/>
        <rFont val="Segoe UI"/>
        <family val="2"/>
      </rPr>
      <t>Item: Heading 
Item: I101Copy Item
Item: StepbyStep Item 1
StepbyStep Item: Image
StepbyStep Item: Richtext Simple Element
StepbyStep Item: Richtext  Full
Item: StepbyStep Item 2
StepbyStep Item: Image
StepbyStep Item: Richtext  Full
Item: StepbyStep Item 3
StepbyStep Item: Image
StepbyStep Item: Richtext  Full</t>
    </r>
  </si>
  <si>
    <r>
      <rPr>
        <b/>
        <sz val="11"/>
        <rFont val="Segoe UI"/>
        <family val="2"/>
      </rPr>
      <t>Validation, that</t>
    </r>
    <r>
      <rPr>
        <sz val="11"/>
        <rFont val="Segoe UI"/>
        <family val="2"/>
      </rPr>
      <t xml:space="preserve">
- a S106 with its items can be </t>
    </r>
    <r>
      <rPr>
        <b/>
        <sz val="11"/>
        <rFont val="Segoe UI"/>
        <family val="2"/>
      </rPr>
      <t>modify</t>
    </r>
    <r>
      <rPr>
        <sz val="11"/>
        <rFont val="Segoe UI"/>
        <family val="2"/>
      </rPr>
      <t xml:space="preserve"> 
- arranges a headline, a media element and a copy item</t>
    </r>
  </si>
  <si>
    <r>
      <rPr>
        <b/>
        <sz val="11"/>
        <rFont val="Segoe UI"/>
        <family val="2"/>
      </rPr>
      <t>Validation, that</t>
    </r>
    <r>
      <rPr>
        <sz val="11"/>
        <rFont val="Segoe UI"/>
        <family val="2"/>
      </rPr>
      <t xml:space="preserve">
- the S106 Editorial Stage Section is displayed on the </t>
    </r>
    <r>
      <rPr>
        <b/>
        <sz val="11"/>
        <rFont val="Segoe UI"/>
        <family val="2"/>
      </rPr>
      <t>publisher</t>
    </r>
  </si>
  <si>
    <r>
      <rPr>
        <b/>
        <sz val="11"/>
        <rFont val="Segoe UI"/>
        <family val="2"/>
      </rPr>
      <t>Validation, that</t>
    </r>
    <r>
      <rPr>
        <sz val="11"/>
        <rFont val="Segoe UI"/>
        <family val="2"/>
      </rPr>
      <t xml:space="preserve">
- a S113 with its items can be </t>
    </r>
    <r>
      <rPr>
        <b/>
        <sz val="11"/>
        <rFont val="Segoe UI"/>
        <family val="2"/>
      </rPr>
      <t>modify</t>
    </r>
    <r>
      <rPr>
        <sz val="11"/>
        <rFont val="Segoe UI"/>
        <family val="2"/>
      </rPr>
      <t xml:space="preserve"> 
- arranges a headline and between 2 and 4 Editorial Teaser Elements</t>
    </r>
  </si>
  <si>
    <r>
      <rPr>
        <b/>
        <sz val="11"/>
        <rFont val="Segoe UI"/>
        <family val="2"/>
      </rPr>
      <t>Validation, that</t>
    </r>
    <r>
      <rPr>
        <sz val="11"/>
        <rFont val="Segoe UI"/>
        <family val="2"/>
      </rPr>
      <t xml:space="preserve">
- the S113 First Level Teaser is displayed on the </t>
    </r>
    <r>
      <rPr>
        <b/>
        <sz val="11"/>
        <rFont val="Segoe UI"/>
        <family val="2"/>
      </rPr>
      <t>publisher</t>
    </r>
  </si>
  <si>
    <r>
      <rPr>
        <b/>
        <sz val="11"/>
        <rFont val="Segoe UI"/>
        <family val="2"/>
      </rPr>
      <t>Validation, that</t>
    </r>
    <r>
      <rPr>
        <sz val="11"/>
        <rFont val="Segoe UI"/>
        <family val="2"/>
      </rPr>
      <t xml:space="preserve">
- a S115 with its items can be </t>
    </r>
    <r>
      <rPr>
        <b/>
        <sz val="11"/>
        <rFont val="Segoe UI"/>
        <family val="2"/>
      </rPr>
      <t>modify</t>
    </r>
    <r>
      <rPr>
        <sz val="11"/>
        <rFont val="Segoe UI"/>
        <family val="2"/>
      </rPr>
      <t xml:space="preserve"> 
- arranges a focus teaser element</t>
    </r>
  </si>
  <si>
    <r>
      <rPr>
        <b/>
        <sz val="11"/>
        <rFont val="Segoe UI"/>
        <family val="2"/>
      </rPr>
      <t>Validation, that</t>
    </r>
    <r>
      <rPr>
        <sz val="11"/>
        <rFont val="Segoe UI"/>
        <family val="2"/>
      </rPr>
      <t xml:space="preserve">
- a S123 with its items can be </t>
    </r>
    <r>
      <rPr>
        <b/>
        <sz val="11"/>
        <rFont val="Segoe UI"/>
        <family val="2"/>
      </rPr>
      <t>modify</t>
    </r>
    <r>
      <rPr>
        <sz val="11"/>
        <rFont val="Segoe UI"/>
        <family val="2"/>
      </rPr>
      <t xml:space="preserve">
- arranges an optional heading,  copy item and a grid-like view of teasers</t>
    </r>
  </si>
  <si>
    <r>
      <rPr>
        <b/>
        <sz val="11"/>
        <rFont val="Segoe UI"/>
        <family val="2"/>
      </rPr>
      <t>Validation, that</t>
    </r>
    <r>
      <rPr>
        <sz val="11"/>
        <rFont val="Segoe UI"/>
        <family val="2"/>
      </rPr>
      <t xml:space="preserve">
- the S123 Second Level Teaser Section is displayed on the </t>
    </r>
    <r>
      <rPr>
        <b/>
        <sz val="11"/>
        <rFont val="Segoe UI"/>
        <family val="2"/>
      </rPr>
      <t>publisher</t>
    </r>
  </si>
  <si>
    <r>
      <rPr>
        <b/>
        <sz val="11"/>
        <rFont val="Segoe UI"/>
        <family val="2"/>
      </rPr>
      <t>Validation, that</t>
    </r>
    <r>
      <rPr>
        <sz val="11"/>
        <rFont val="Segoe UI"/>
        <family val="2"/>
      </rPr>
      <t xml:space="preserve">
- a S116 with its items can be </t>
    </r>
    <r>
      <rPr>
        <b/>
        <sz val="11"/>
        <rFont val="Segoe UI"/>
        <family val="2"/>
      </rPr>
      <t>modify</t>
    </r>
    <r>
      <rPr>
        <sz val="11"/>
        <rFont val="Segoe UI"/>
        <family val="2"/>
      </rPr>
      <t xml:space="preserve"> 
- arranges a headline and sections
</t>
    </r>
  </si>
  <si>
    <r>
      <rPr>
        <b/>
        <sz val="11"/>
        <rFont val="Segoe UI"/>
        <family val="2"/>
      </rPr>
      <t>Validation, that</t>
    </r>
    <r>
      <rPr>
        <sz val="11"/>
        <rFont val="Segoe UI"/>
        <family val="2"/>
      </rPr>
      <t xml:space="preserve">
- a S117 with its items can be </t>
    </r>
    <r>
      <rPr>
        <b/>
        <sz val="11"/>
        <rFont val="Segoe UI"/>
        <family val="2"/>
      </rPr>
      <t>modify</t>
    </r>
    <r>
      <rPr>
        <sz val="11"/>
        <rFont val="Segoe UI"/>
        <family val="2"/>
      </rPr>
      <t xml:space="preserve"> 
- arranges a I117 accordion item
</t>
    </r>
  </si>
  <si>
    <r>
      <rPr>
        <b/>
        <sz val="11"/>
        <rFont val="Segoe UI"/>
        <family val="2"/>
      </rPr>
      <t>Validation, that</t>
    </r>
    <r>
      <rPr>
        <sz val="11"/>
        <rFont val="Segoe UI"/>
        <family val="2"/>
      </rPr>
      <t xml:space="preserve">
- the S117 Accordion Section is displayed on the </t>
    </r>
    <r>
      <rPr>
        <b/>
        <sz val="11"/>
        <rFont val="Segoe UI"/>
        <family val="2"/>
      </rPr>
      <t>publisher</t>
    </r>
  </si>
  <si>
    <r>
      <rPr>
        <b/>
        <sz val="11"/>
        <rFont val="Segoe UI"/>
        <family val="2"/>
      </rPr>
      <t>Validation, that</t>
    </r>
    <r>
      <rPr>
        <sz val="11"/>
        <rFont val="Segoe UI"/>
        <family val="2"/>
      </rPr>
      <t xml:space="preserve">
- a S124 with its cells can be </t>
    </r>
    <r>
      <rPr>
        <b/>
        <sz val="11"/>
        <rFont val="Segoe UI"/>
        <family val="2"/>
      </rPr>
      <t>modify</t>
    </r>
    <r>
      <rPr>
        <sz val="11"/>
        <rFont val="Segoe UI"/>
        <family val="2"/>
      </rPr>
      <t xml:space="preserve">
- arranges empty table, image table, merge column merge row and richtext table cell
</t>
    </r>
  </si>
  <si>
    <r>
      <rPr>
        <b/>
        <sz val="11"/>
        <rFont val="Segoe UI"/>
        <family val="2"/>
      </rPr>
      <t>Validation, that</t>
    </r>
    <r>
      <rPr>
        <sz val="11"/>
        <rFont val="Segoe UI"/>
        <family val="2"/>
      </rPr>
      <t xml:space="preserve">
- the S124 Table SectionAccordion Section is displayed on the </t>
    </r>
    <r>
      <rPr>
        <b/>
        <sz val="11"/>
        <rFont val="Segoe UI"/>
        <family val="2"/>
      </rPr>
      <t>publisher</t>
    </r>
  </si>
  <si>
    <r>
      <rPr>
        <b/>
        <sz val="11"/>
        <rFont val="Segoe UI"/>
        <family val="2"/>
      </rPr>
      <t>Validation, that</t>
    </r>
    <r>
      <rPr>
        <sz val="11"/>
        <rFont val="Segoe UI"/>
        <family val="2"/>
      </rPr>
      <t xml:space="preserve">
- a S126 with its items can be </t>
    </r>
    <r>
      <rPr>
        <b/>
        <sz val="11"/>
        <rFont val="Segoe UI"/>
        <family val="2"/>
      </rPr>
      <t>modify</t>
    </r>
    <r>
      <rPr>
        <sz val="11"/>
        <rFont val="Segoe UI"/>
        <family val="2"/>
      </rPr>
      <t xml:space="preserve">
- integrates an external website in a page
</t>
    </r>
  </si>
  <si>
    <r>
      <rPr>
        <b/>
        <sz val="11"/>
        <rFont val="Segoe UI"/>
        <family val="2"/>
      </rPr>
      <t>Validation, that</t>
    </r>
    <r>
      <rPr>
        <sz val="11"/>
        <rFont val="Segoe UI"/>
        <family val="2"/>
      </rPr>
      <t xml:space="preserve">
- the S126 Iframe Integrator Section is displayed on the </t>
    </r>
    <r>
      <rPr>
        <b/>
        <sz val="11"/>
        <rFont val="Segoe UI"/>
        <family val="2"/>
      </rPr>
      <t>publisher</t>
    </r>
  </si>
  <si>
    <r>
      <rPr>
        <b/>
        <sz val="11"/>
        <rFont val="Segoe UI"/>
        <family val="2"/>
      </rPr>
      <t>Validation, that</t>
    </r>
    <r>
      <rPr>
        <sz val="11"/>
        <rFont val="Segoe UI"/>
        <family val="2"/>
      </rPr>
      <t xml:space="preserve">
- a S111 with its items can be </t>
    </r>
    <r>
      <rPr>
        <b/>
        <sz val="11"/>
        <rFont val="Segoe UI"/>
        <family val="2"/>
      </rPr>
      <t>modify</t>
    </r>
    <r>
      <rPr>
        <sz val="11"/>
        <rFont val="Segoe UI"/>
        <family val="2"/>
      </rPr>
      <t xml:space="preserve"> 
- arranges a pro / contra item with a headline, copy item, label, statement, description and image
</t>
    </r>
  </si>
  <si>
    <r>
      <rPr>
        <b/>
        <sz val="11"/>
        <rFont val="Segoe UI"/>
        <family val="2"/>
      </rPr>
      <t>Validation, that</t>
    </r>
    <r>
      <rPr>
        <sz val="11"/>
        <rFont val="Segoe UI"/>
        <family val="2"/>
      </rPr>
      <t xml:space="preserve">
- the S111 Pros and Cons Section is displayed on the </t>
    </r>
    <r>
      <rPr>
        <b/>
        <sz val="11"/>
        <rFont val="Segoe UI"/>
        <family val="2"/>
      </rPr>
      <t>publisher</t>
    </r>
  </si>
  <si>
    <r>
      <rPr>
        <b/>
        <sz val="11"/>
        <rFont val="Segoe UI"/>
        <family val="2"/>
      </rPr>
      <t>Validation, that</t>
    </r>
    <r>
      <rPr>
        <sz val="11"/>
        <rFont val="Segoe UI"/>
        <family val="2"/>
      </rPr>
      <t xml:space="preserve">
- a S112 with its items can be </t>
    </r>
    <r>
      <rPr>
        <b/>
        <sz val="11"/>
        <rFont val="Segoe UI"/>
        <family val="2"/>
      </rPr>
      <t>modify</t>
    </r>
    <r>
      <rPr>
        <sz val="11"/>
        <rFont val="Segoe UI"/>
        <family val="2"/>
      </rPr>
      <t xml:space="preserve"> 
- arranges a headline, copy item and I111 Step by Step Containerchild 
</t>
    </r>
  </si>
  <si>
    <r>
      <t xml:space="preserve">Validation, that
- the S111 Pros and Cons Section is displayed on the </t>
    </r>
    <r>
      <rPr>
        <b/>
        <sz val="11"/>
        <rFont val="Segoe UI"/>
        <family val="2"/>
      </rPr>
      <t>publisher</t>
    </r>
  </si>
  <si>
    <r>
      <rPr>
        <b/>
        <sz val="11"/>
        <rFont val="Segoe UI"/>
        <family val="2"/>
      </rPr>
      <t>Validation, that</t>
    </r>
    <r>
      <rPr>
        <sz val="11"/>
        <rFont val="Segoe UI"/>
        <family val="2"/>
      </rPr>
      <t xml:space="preserve">
- a S106 with its items can be </t>
    </r>
    <r>
      <rPr>
        <b/>
        <sz val="11"/>
        <rFont val="Segoe UI"/>
        <family val="2"/>
      </rPr>
      <t>deleted</t>
    </r>
    <r>
      <rPr>
        <sz val="11"/>
        <rFont val="Segoe UI"/>
        <family val="2"/>
      </rPr>
      <t xml:space="preserve"> 
- arranges a headline, a media element and a copy item</t>
    </r>
  </si>
  <si>
    <r>
      <rPr>
        <b/>
        <sz val="11"/>
        <rFont val="Segoe UI"/>
        <family val="2"/>
      </rPr>
      <t>Validation, that</t>
    </r>
    <r>
      <rPr>
        <sz val="11"/>
        <rFont val="Segoe UI"/>
        <family val="2"/>
      </rPr>
      <t xml:space="preserve">
- the Showroom is displayed without S106 Editorial Stage Section on the </t>
    </r>
    <r>
      <rPr>
        <b/>
        <sz val="11"/>
        <rFont val="Segoe UI"/>
        <family val="2"/>
      </rPr>
      <t>publisher</t>
    </r>
    <r>
      <rPr>
        <sz val="11"/>
        <rFont val="Segoe UI"/>
        <family val="2"/>
      </rPr>
      <t>.</t>
    </r>
  </si>
  <si>
    <r>
      <t xml:space="preserve">Validation, that
- a S113 with its items can be </t>
    </r>
    <r>
      <rPr>
        <b/>
        <sz val="11"/>
        <rFont val="Segoe UI"/>
        <family val="2"/>
      </rPr>
      <t>deleted</t>
    </r>
    <r>
      <rPr>
        <sz val="11"/>
        <rFont val="Segoe UI"/>
        <family val="2"/>
      </rPr>
      <t xml:space="preserve"> 
- arranges a headline and between 2 and 4 Editorial Teaser Elements
</t>
    </r>
  </si>
  <si>
    <r>
      <rPr>
        <b/>
        <sz val="11"/>
        <rFont val="Segoe UI"/>
        <family val="2"/>
      </rPr>
      <t>Validation, that</t>
    </r>
    <r>
      <rPr>
        <sz val="11"/>
        <rFont val="Segoe UI"/>
        <family val="2"/>
      </rPr>
      <t xml:space="preserve">
- the Showroom is displayed without S113 First Level Teaser on the </t>
    </r>
    <r>
      <rPr>
        <b/>
        <sz val="11"/>
        <rFont val="Segoe UI"/>
        <family val="2"/>
      </rPr>
      <t>publisher</t>
    </r>
    <r>
      <rPr>
        <sz val="11"/>
        <rFont val="Segoe UI"/>
        <family val="2"/>
      </rPr>
      <t>.</t>
    </r>
  </si>
  <si>
    <r>
      <rPr>
        <b/>
        <sz val="11"/>
        <rFont val="Segoe UI"/>
        <family val="2"/>
      </rPr>
      <t>Validation, that</t>
    </r>
    <r>
      <rPr>
        <sz val="11"/>
        <rFont val="Segoe UI"/>
        <family val="2"/>
      </rPr>
      <t xml:space="preserve">
- the Showroom is displayed without S115 Focus Teaser Section on the </t>
    </r>
    <r>
      <rPr>
        <b/>
        <sz val="11"/>
        <rFont val="Segoe UI"/>
        <family val="2"/>
      </rPr>
      <t>publisher</t>
    </r>
    <r>
      <rPr>
        <sz val="11"/>
        <rFont val="Segoe UI"/>
        <family val="2"/>
      </rPr>
      <t>.</t>
    </r>
  </si>
  <si>
    <r>
      <t xml:space="preserve">Validation, that
- a S123 with its items can be </t>
    </r>
    <r>
      <rPr>
        <b/>
        <sz val="11"/>
        <rFont val="Segoe UI"/>
        <family val="2"/>
      </rPr>
      <t>deleted</t>
    </r>
    <r>
      <rPr>
        <sz val="11"/>
        <rFont val="Segoe UI"/>
        <family val="2"/>
      </rPr>
      <t xml:space="preserve">
- arranges an optional heading,  copy item and a grid-like view of teasers</t>
    </r>
  </si>
  <si>
    <r>
      <rPr>
        <b/>
        <sz val="11"/>
        <rFont val="Segoe UI"/>
        <family val="2"/>
      </rPr>
      <t>Validation, that</t>
    </r>
    <r>
      <rPr>
        <sz val="11"/>
        <rFont val="Segoe UI"/>
        <family val="2"/>
      </rPr>
      <t xml:space="preserve">
- the Showroom is displayed without S123 Second Level Teaser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</si>
  <si>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S116 with its items can be </t>
    </r>
    <r>
      <rPr>
        <b/>
        <sz val="11"/>
        <rFont val="Segoe UI"/>
        <family val="2"/>
      </rPr>
      <t>deleted</t>
    </r>
    <r>
      <rPr>
        <sz val="11"/>
        <rFont val="Segoe UI"/>
        <family val="2"/>
      </rPr>
      <t xml:space="preserve"> 
- arranges a headline and sections
</t>
    </r>
  </si>
  <si>
    <r>
      <rPr>
        <b/>
        <sz val="11"/>
        <rFont val="Segoe UI"/>
        <family val="2"/>
      </rPr>
      <t>Validation, that</t>
    </r>
    <r>
      <rPr>
        <sz val="11"/>
        <rFont val="Segoe UI"/>
        <family val="2"/>
      </rPr>
      <t xml:space="preserve">
- a S117 with its items can be </t>
    </r>
    <r>
      <rPr>
        <b/>
        <sz val="11"/>
        <rFont val="Segoe UI"/>
        <family val="2"/>
      </rPr>
      <t>deleted</t>
    </r>
    <r>
      <rPr>
        <sz val="11"/>
        <rFont val="Segoe UI"/>
        <family val="2"/>
      </rPr>
      <t xml:space="preserve"> 
- arranges a I117 accordion item
</t>
    </r>
  </si>
  <si>
    <r>
      <rPr>
        <b/>
        <sz val="11"/>
        <rFont val="Segoe UI"/>
        <family val="2"/>
      </rPr>
      <t>Validation, that</t>
    </r>
    <r>
      <rPr>
        <sz val="11"/>
        <rFont val="Segoe UI"/>
        <family val="2"/>
      </rPr>
      <t xml:space="preserve">
- the Showroom is displayed without S117 Accordion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</si>
  <si>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S124 with its cells can be </t>
    </r>
    <r>
      <rPr>
        <b/>
        <sz val="11"/>
        <rFont val="Segoe UI"/>
        <family val="2"/>
      </rPr>
      <t>deleted</t>
    </r>
    <r>
      <rPr>
        <sz val="11"/>
        <rFont val="Segoe UI"/>
        <family val="2"/>
      </rPr>
      <t xml:space="preserve">
- arranges empty table, image table, merge column merge row and richtext table cell</t>
    </r>
  </si>
  <si>
    <r>
      <rPr>
        <b/>
        <sz val="11"/>
        <rFont val="Segoe UI"/>
        <family val="2"/>
      </rPr>
      <t>Validation, that</t>
    </r>
    <r>
      <rPr>
        <sz val="11"/>
        <rFont val="Segoe UI"/>
        <family val="2"/>
      </rPr>
      <t xml:space="preserve">
- the Showroom is displayed without S124 Table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</si>
  <si>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S126 with its items can be </t>
    </r>
    <r>
      <rPr>
        <b/>
        <sz val="11"/>
        <rFont val="Segoe UI"/>
        <family val="2"/>
      </rPr>
      <t>deleted</t>
    </r>
    <r>
      <rPr>
        <sz val="11"/>
        <rFont val="Segoe UI"/>
        <family val="2"/>
      </rPr>
      <t xml:space="preserve">
- integrates an external website in a page
</t>
    </r>
  </si>
  <si>
    <r>
      <rPr>
        <b/>
        <sz val="11"/>
        <rFont val="Segoe UI"/>
        <family val="2"/>
      </rPr>
      <t>Validation, that</t>
    </r>
    <r>
      <rPr>
        <sz val="11"/>
        <rFont val="Segoe UI"/>
        <family val="2"/>
      </rPr>
      <t xml:space="preserve">
- the Showroom is displayed without S126 Iframe Integrator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</si>
  <si>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S111 with its items can be </t>
    </r>
    <r>
      <rPr>
        <b/>
        <sz val="11"/>
        <rFont val="Segoe UI"/>
        <family val="2"/>
      </rPr>
      <t>deleted</t>
    </r>
    <r>
      <rPr>
        <sz val="11"/>
        <rFont val="Segoe UI"/>
        <family val="2"/>
      </rPr>
      <t xml:space="preserve"> 
- arranges a pro / contra item with a headline, copy item, label, statement, description and image
</t>
    </r>
  </si>
  <si>
    <r>
      <rPr>
        <b/>
        <sz val="11"/>
        <rFont val="Segoe UI"/>
        <family val="2"/>
      </rPr>
      <t>Validation, that</t>
    </r>
    <r>
      <rPr>
        <sz val="11"/>
        <rFont val="Segoe UI"/>
        <family val="2"/>
      </rPr>
      <t xml:space="preserve">
- the Showroom is displayed without S111 Pros and Cons Section on the </t>
    </r>
    <r>
      <rPr>
        <b/>
        <sz val="11"/>
        <rFont val="Segoe UI"/>
        <family val="2"/>
      </rPr>
      <t>publisher</t>
    </r>
    <r>
      <rPr>
        <sz val="11"/>
        <rFont val="Segoe UI"/>
        <family val="2"/>
      </rPr>
      <t>.</t>
    </r>
  </si>
  <si>
    <r>
      <rPr>
        <b/>
        <sz val="11"/>
        <rFont val="Segoe UI"/>
        <family val="2"/>
      </rPr>
      <t>Validation, that</t>
    </r>
    <r>
      <rPr>
        <sz val="11"/>
        <rFont val="Segoe UI"/>
        <family val="2"/>
      </rPr>
      <t xml:space="preserve">
- a S112 with its items can be </t>
    </r>
    <r>
      <rPr>
        <b/>
        <sz val="11"/>
        <rFont val="Segoe UI"/>
        <family val="2"/>
      </rPr>
      <t>deleted</t>
    </r>
    <r>
      <rPr>
        <sz val="11"/>
        <rFont val="Segoe UI"/>
        <family val="2"/>
      </rPr>
      <t xml:space="preserve"> 
- arranges a headline, copy item and I111 Step by Step Containerchild 
</t>
    </r>
  </si>
  <si>
    <r>
      <rPr>
        <b/>
        <sz val="11"/>
        <rFont val="Segoe UI"/>
        <family val="2"/>
      </rPr>
      <t>Validation, that</t>
    </r>
    <r>
      <rPr>
        <sz val="11"/>
        <rFont val="Segoe UI"/>
        <family val="2"/>
      </rPr>
      <t xml:space="preserve">
- the Showroom is displayed without S112 Step By Step Section on the </t>
    </r>
    <r>
      <rPr>
        <b/>
        <sz val="11"/>
        <rFont val="Segoe UI"/>
        <family val="2"/>
      </rPr>
      <t>publisher</t>
    </r>
    <r>
      <rPr>
        <sz val="11"/>
        <rFont val="Segoe UI"/>
        <family val="2"/>
      </rPr>
      <t>.</t>
    </r>
  </si>
  <si>
    <r>
      <t xml:space="preserve">Validation, that
</t>
    </r>
    <r>
      <rPr>
        <sz val="11"/>
        <rFont val="Segoe UI"/>
        <family val="2"/>
      </rPr>
      <t>- login is possible
- navigate to MyVolkswagen is possible
- navigate to Einstellungen is possible
- logout is possible</t>
    </r>
  </si>
  <si>
    <r>
      <t xml:space="preserve">Validation, that
</t>
    </r>
    <r>
      <rPr>
        <sz val="11"/>
        <rFont val="Segoe UI"/>
        <family val="2"/>
      </rPr>
      <t>- password reset is possible
- create a new account is possible
- Merge Consent appears (after removing or new account)</t>
    </r>
  </si>
  <si>
    <r>
      <t xml:space="preserve">Validation, that
</t>
    </r>
    <r>
      <rPr>
        <sz val="11"/>
        <color theme="1"/>
        <rFont val="Segoe UI"/>
        <family val="2"/>
      </rPr>
      <t>- open NavigationFlyout is possible
- navigate to 1 Level is possible
- navigate to 2 Level is possible
- navigate to 3 Level is possible
- closing NavigationFlyout with close button is possible</t>
    </r>
  </si>
  <si>
    <r>
      <t xml:space="preserve">Validation, that
</t>
    </r>
    <r>
      <rPr>
        <sz val="11"/>
        <color theme="1"/>
        <rFont val="Segoe UI"/>
        <family val="2"/>
      </rPr>
      <t>- top - Links are working
- teaser link is working
- language switch is working 
- imprint link is working
- cookie policy link is working 
- legal statement is working
- privacy policy is working
- Lizenshinweise Dritter is working</t>
    </r>
  </si>
  <si>
    <r>
      <t xml:space="preserve">Validation, that
</t>
    </r>
    <r>
      <rPr>
        <sz val="11"/>
        <color theme="1"/>
        <rFont val="Segoe UI"/>
        <family val="2"/>
      </rPr>
      <t>- the VW Logo - redirects back  to homepage
- scrolling down the white bar with burger menue item is visible
- scrolling up the complete top bar with burger menue, VW-Logo and top bar Icon are visible</t>
    </r>
  </si>
  <si>
    <r>
      <t xml:space="preserve">Validation, that
</t>
    </r>
    <r>
      <rPr>
        <strike/>
        <sz val="11"/>
        <color rgb="FF00B0F0"/>
        <rFont val="Segoe UI"/>
        <family val="2"/>
      </rPr>
      <t>- shopping  cart icon (Top bar) can be enabled and disabled
- verify that the shopping cart icon is visible on publisher site</t>
    </r>
  </si>
  <si>
    <r>
      <t xml:space="preserve">Validation, that
</t>
    </r>
    <r>
      <rPr>
        <strike/>
        <sz val="11"/>
        <rFont val="Segoe UI"/>
        <family val="2"/>
      </rPr>
      <t>- redirect to OneShop via shopping cart is possible
- can be used on HP, ED, EOP, MOP, SRP and Integrator Page</t>
    </r>
  </si>
  <si>
    <r>
      <t xml:space="preserve">Validation, that
</t>
    </r>
    <r>
      <rPr>
        <sz val="11"/>
        <color theme="1"/>
        <rFont val="Segoe UI"/>
        <family val="2"/>
      </rPr>
      <t>- Search Icon can be enabled and disabled
- verify that the Search Icon is visible on publisher site
- search a target word and verify the search result</t>
    </r>
  </si>
  <si>
    <r>
      <t xml:space="preserve">Validation, that
</t>
    </r>
    <r>
      <rPr>
        <sz val="11"/>
        <color theme="1"/>
        <rFont val="Segoe UI"/>
        <family val="2"/>
      </rPr>
      <t>- open Navigationflyout and navigate with the Showroom Journey "Modelle entdeken"
- select a car is possible
- select a Trim is possible</t>
    </r>
  </si>
  <si>
    <r>
      <t xml:space="preserve">Validation, that
</t>
    </r>
    <r>
      <rPr>
        <sz val="11"/>
        <color theme="1"/>
        <rFont val="Segoe UI"/>
        <family val="2"/>
      </rPr>
      <t>- open Navigationflyout and navigate with the Configure Journey "Konfigurator"
- select a car is possible
- select a Trim is possible
- switch to the configurator and configure a car</t>
    </r>
  </si>
  <si>
    <r>
      <t xml:space="preserve">Validation, that
</t>
    </r>
    <r>
      <rPr>
        <sz val="11"/>
        <color theme="1"/>
        <rFont val="Segoe UI"/>
        <family val="2"/>
      </rPr>
      <t>- Images in sections or on pages are not blurred
- Animation in sections or on pages are not blurred
- Videos in sections or on pages are not blurred</t>
    </r>
  </si>
  <si>
    <r>
      <t xml:space="preserve">Validation, that
</t>
    </r>
    <r>
      <rPr>
        <sz val="11"/>
        <color theme="1"/>
        <rFont val="Segoe UI"/>
        <family val="2"/>
      </rPr>
      <t xml:space="preserve">- content of an exiting table are complete as for the deployment: </t>
    </r>
  </si>
  <si>
    <r>
      <t xml:space="preserve">Validation, that
</t>
    </r>
    <r>
      <rPr>
        <sz val="11"/>
        <color theme="1"/>
        <rFont val="Segoe UI"/>
        <family val="2"/>
      </rPr>
      <t xml:space="preserve">- the template of the External Link Lightbox can be created
- arranges a Headline, Richtext and a Button
- an external Link can be configured
- create an external link is possible
- edit an external link light box is possible
- create an internen link is possible
- links that are added on the whitelist are displayed 
- links that are added on the blacklist are not displayed </t>
    </r>
  </si>
  <si>
    <r>
      <t xml:space="preserve">Validation, that
</t>
    </r>
    <r>
      <rPr>
        <sz val="11"/>
        <color theme="1"/>
        <rFont val="Segoe UI"/>
        <family val="2"/>
      </rPr>
      <t>- external Link Light Box appears</t>
    </r>
  </si>
  <si>
    <r>
      <t xml:space="preserve">Validation, that
</t>
    </r>
    <r>
      <rPr>
        <sz val="11"/>
        <color theme="1"/>
        <rFont val="Segoe UI"/>
        <family val="2"/>
      </rPr>
      <t>- the global disclaimer are displayed on the Mofa Overview page
- the global disclaimer are displayed on the Showroom page
- the global disclaimer are displayed on the Homepage
- the global disclaimer are displayed on the Editorial Page
- the global disclaimer are displayed on content layer
- the global disclaimer are displayed on the Integrator Template</t>
    </r>
  </si>
  <si>
    <r>
      <t xml:space="preserve">Validation, that
</t>
    </r>
    <r>
      <rPr>
        <sz val="11"/>
        <color theme="1"/>
        <rFont val="Segoe UI"/>
        <family val="2"/>
      </rPr>
      <t>- open Navigationflyout and select "Integrator"
- Integrator template is loaded and Topbar, Footer are displayed properly
- open Navigationflyout, select "Modelle und Konfigurator" and navigate to "Modelle Entdecken"
- Mofa Overview is loaded and displayed without error messages</t>
    </r>
  </si>
  <si>
    <r>
      <t xml:space="preserve">Validation, that
</t>
    </r>
    <r>
      <rPr>
        <sz val="11"/>
        <color theme="1"/>
        <rFont val="Segoe UI"/>
        <family val="2"/>
      </rPr>
      <t>- an unsupported browser notification is displayed when using the "updated Browser"</t>
    </r>
  </si>
  <si>
    <r>
      <t xml:space="preserve">Validation, that breadcrumbs invisible on:
</t>
    </r>
    <r>
      <rPr>
        <sz val="11"/>
        <rFont val="Segoe UI"/>
        <family val="2"/>
      </rPr>
      <t>- Homepage</t>
    </r>
    <r>
      <rPr>
        <b/>
        <sz val="11"/>
        <rFont val="Segoe UI"/>
        <family val="2"/>
      </rPr>
      <t xml:space="preserve">
Validation, that breadcrumbs visible on:
</t>
    </r>
    <r>
      <rPr>
        <sz val="11"/>
        <rFont val="Segoe UI"/>
        <family val="2"/>
      </rPr>
      <t xml:space="preserve">- Editorial Overview Page
- it is possible to navigate backwards
- no breadcrumbs for Mobile viewport (&lt;560px)
</t>
    </r>
    <r>
      <rPr>
        <b/>
        <sz val="11"/>
        <rFont val="Segoe UI"/>
        <family val="2"/>
      </rPr>
      <t>Validation, that breadcrumbs visible on:</t>
    </r>
    <r>
      <rPr>
        <sz val="11"/>
        <rFont val="Segoe UI"/>
        <family val="2"/>
      </rPr>
      <t xml:space="preserve">
- Editorial Page
- it is possible to navigate backwards
- no breadcrumbs for Mobile viewport (&lt;560px)
</t>
    </r>
    <r>
      <rPr>
        <b/>
        <sz val="11"/>
        <rFont val="Segoe UI"/>
        <family val="2"/>
      </rPr>
      <t xml:space="preserve">Validation, that breadcrumbs:
</t>
    </r>
    <r>
      <rPr>
        <sz val="11"/>
        <rFont val="Segoe UI"/>
        <family val="2"/>
      </rPr>
      <t xml:space="preserve">- Showroom Page
- full path breadcrumbs visible under stage on showroom page without Technical Car Data Section
- it is possible to navigate backwards
- no breadcrumbs for Mobile viewport (&lt;560px)
</t>
    </r>
    <r>
      <rPr>
        <b/>
        <sz val="11"/>
        <rFont val="Segoe UI"/>
        <family val="2"/>
      </rPr>
      <t>Validation, that breadcrumbs:</t>
    </r>
    <r>
      <rPr>
        <sz val="11"/>
        <rFont val="Segoe UI"/>
        <family val="2"/>
      </rPr>
      <t xml:space="preserve">
- Showroom Page
- full path breadcrumbs visible under stage on showroom page without Technical Car Data Section
- it is possible to navigate backwards
- no breadcrumbs for Mobile viewport (&lt;560px)
</t>
    </r>
    <r>
      <rPr>
        <b/>
        <sz val="11"/>
        <rFont val="Segoe UI"/>
        <family val="2"/>
      </rPr>
      <t>Validation, that breadcrumbs visible on:</t>
    </r>
    <r>
      <rPr>
        <sz val="11"/>
        <rFont val="Segoe UI"/>
        <family val="2"/>
      </rPr>
      <t xml:space="preserve">
- Model Overview Page
- it is possible to navigate backwards
- no breadcrumbs for Mobile viewport (&lt;560px)
</t>
    </r>
    <r>
      <rPr>
        <b/>
        <sz val="11"/>
        <rFont val="Segoe UI"/>
        <family val="2"/>
      </rPr>
      <t>Validation, that breadcrumbs visible on:</t>
    </r>
    <r>
      <rPr>
        <sz val="11"/>
        <rFont val="Segoe UI"/>
        <family val="2"/>
      </rPr>
      <t xml:space="preserve">
- Feature App Page
- it is possible to navigate backwards
- no breadcrumbs for Mobile viewport (&lt;560px)
</t>
    </r>
  </si>
  <si>
    <r>
      <t xml:space="preserve">Validation, that
</t>
    </r>
    <r>
      <rPr>
        <sz val="11"/>
        <color theme="1"/>
        <rFont val="Segoe UI"/>
        <family val="2"/>
      </rPr>
      <t>- the inpage navigation bar can be used for all focus name navigate to corresponding sections on a page
- the inpage navigation bar can be displayed everywhere in the page below the Stage by scrolling the page down or down
- the inpage navigation bar still visible while scrolling the Page up
- the inpage navigation bar is sticky at the top of the page
- configured inpage navigation titles of showrooms are still there, compare with publiher
- set external/internal links to inpage navigation bar</t>
    </r>
  </si>
  <si>
    <r>
      <t xml:space="preserve">Validation, that
</t>
    </r>
    <r>
      <rPr>
        <sz val="11"/>
        <color theme="1"/>
        <rFont val="Segoe UI"/>
        <family val="2"/>
      </rPr>
      <t>- links connected with Anchor can be used in the Showroom Page (all focus links navigate to corresponding sections on the Showroom)</t>
    </r>
  </si>
  <si>
    <r>
      <t xml:space="preserve">Validation, that
</t>
    </r>
    <r>
      <rPr>
        <sz val="11"/>
        <color theme="1"/>
        <rFont val="Segoe UI"/>
        <family val="2"/>
      </rPr>
      <t>- an alias can be set
- the site can be called via the alias</t>
    </r>
  </si>
  <si>
    <r>
      <t xml:space="preserve">Validation, that
</t>
    </r>
    <r>
      <rPr>
        <sz val="11"/>
        <rFont val="Segoe UI"/>
        <family val="2"/>
      </rPr>
      <t>- Validate that Skiplinks can be enabled and disabled
- Skip Links are displayed on the page</t>
    </r>
  </si>
  <si>
    <r>
      <t xml:space="preserve">Validation, that
</t>
    </r>
    <r>
      <rPr>
        <sz val="11"/>
        <rFont val="Segoe UI"/>
        <family val="2"/>
      </rPr>
      <t>- a NBAB can be activated via Pageproperties 
- a NBAB can be inherit via Pageproperties
- a NBAB can be deactivate via Pageproperties</t>
    </r>
  </si>
  <si>
    <r>
      <t xml:space="preserve">Validation, that
</t>
    </r>
    <r>
      <rPr>
        <sz val="11"/>
        <rFont val="Segoe UI"/>
        <family val="2"/>
      </rPr>
      <t>- the activated NBAB is displayed on the page
- the inherit NBAB is displayed on the childpage
- an inherit NBAB button can be overwritten by childpage configuration
- the deactivaed NBAB is not displayed on the page
- define up to five actions of NBAB per section
- define up to five actions of NBAB per page
- only in Mobile: NBABs are only visible after clicking on the primary NBAB
- in Tablet and Desktop view: all NBAB's are visible by default</t>
    </r>
  </si>
  <si>
    <r>
      <t xml:space="preserve">Validation, that in Publish Page:
</t>
    </r>
    <r>
      <rPr>
        <sz val="11"/>
        <color theme="1"/>
        <rFont val="Segoe UI"/>
        <family val="2"/>
      </rPr>
      <t>1. for 50% all users see Variant A (Circular):</t>
    </r>
    <r>
      <rPr>
        <b/>
        <sz val="11"/>
        <color theme="1"/>
        <rFont val="Segoe UI"/>
        <family val="2"/>
      </rPr>
      <t xml:space="preserve">
</t>
    </r>
    <r>
      <rPr>
        <sz val="11"/>
        <color theme="1"/>
        <rFont val="Segoe UI"/>
        <family val="2"/>
      </rPr>
      <t>- only in Mobile: NBAB's are only visible after clicking on the primary NBAB
- in Tablet and Desktop view: all NBAB's are visible by default
2. or 50% means that all users see Variant B (Horizontal)
a) in mobile and tablet view:
- NBAB is part of the sticky panel at the bottom of the viewport
- for one NBAB the button is shown on the right
- more than one NBAB, NBAB's are displayed after expanding the menu icon on the left
b) in the desktop view, all NBABs are visible by default</t>
    </r>
  </si>
  <si>
    <r>
      <t xml:space="preserve">Validation, that the:
</t>
    </r>
    <r>
      <rPr>
        <sz val="11"/>
        <rFont val="Segoe UI"/>
        <family val="2"/>
      </rPr>
      <t>- URL mapping can be edited
- URL entry can be saved
- URL mapping can be published</t>
    </r>
  </si>
  <si>
    <r>
      <rPr>
        <b/>
        <sz val="11"/>
        <rFont val="Segoe UI"/>
        <family val="2"/>
      </rPr>
      <t>Validation, that</t>
    </r>
    <r>
      <rPr>
        <sz val="11"/>
        <rFont val="Segoe UI"/>
        <family val="2"/>
      </rPr>
      <t xml:space="preserve">
- a S121 with its items can be </t>
    </r>
    <r>
      <rPr>
        <b/>
        <sz val="11"/>
        <rFont val="Segoe UI"/>
        <family val="2"/>
      </rPr>
      <t>displayed</t>
    </r>
    <r>
      <rPr>
        <sz val="11"/>
        <rFont val="Segoe UI"/>
        <family val="2"/>
      </rPr>
      <t xml:space="preserve"> 
- arranges a glossary alphabet" &amp; glossary groups / Items
- Glossary alphabet is displayed on the page</t>
    </r>
  </si>
  <si>
    <t>Tablename</t>
  </si>
  <si>
    <t>#Checkpoint</t>
  </si>
  <si>
    <t>#TA Completed</t>
  </si>
  <si>
    <t>Automatisierungsgrad</t>
  </si>
  <si>
    <t>Summe</t>
  </si>
  <si>
    <t>DAM</t>
  </si>
  <si>
    <t>XFs</t>
  </si>
  <si>
    <t>TO SIT</t>
  </si>
  <si>
    <t>_2025-11-24</t>
  </si>
  <si>
    <t>One-HUB-GF-30</t>
  </si>
  <si>
    <t>Wishlist</t>
  </si>
  <si>
    <t>Shopping-Cart</t>
  </si>
  <si>
    <r>
      <rPr>
        <b/>
        <sz val="11"/>
        <color rgb="FF00B0F0"/>
        <rFont val="Segoe UI"/>
        <family val="2"/>
      </rPr>
      <t>Validation, that</t>
    </r>
    <r>
      <rPr>
        <sz val="11"/>
        <color rgb="FF00B0F0"/>
        <rFont val="Segoe UI"/>
        <family val="2"/>
      </rPr>
      <t xml:space="preserve">
- Cars can be added to wishlist
- Wishlist-icon is displayed in navigation bar
- Counter on wishlist-icon is equal to items in wishlist
- Items added in Garage &amp; GSL are displayed in wishlist
- Wishlist is displayed in publisher</t>
    </r>
  </si>
  <si>
    <r>
      <rPr>
        <b/>
        <sz val="11"/>
        <color rgb="FF00B0F0"/>
        <rFont val="Segoe UI"/>
        <family val="2"/>
      </rPr>
      <t>Validation, that</t>
    </r>
    <r>
      <rPr>
        <sz val="11"/>
        <color rgb="FF00B0F0"/>
        <rFont val="Segoe UI"/>
        <family val="2"/>
      </rPr>
      <t xml:space="preserve">
- Shopping Cart Icon is displayed in navigation-bar
- Shopping Cart is displayed in publisher
- Items can be added through configured shops
- added items are displayed in shopping cart
- Items can be removed from shopping cart
</t>
    </r>
  </si>
  <si>
    <t>One-HUB-GF-31</t>
  </si>
  <si>
    <t>_2026-01-26</t>
  </si>
  <si>
    <t xml:space="preserve">Added Checkpoints for Wishlist and Shopping Cart One-HUB-GF-30, One-HUB-GF-31 in TOSIT </t>
  </si>
  <si>
    <t>Updated Template and added metadata sheet for TA tracking, added archive with old checkpoints</t>
  </si>
  <si>
    <r>
      <t xml:space="preserve">Testexecution </t>
    </r>
    <r>
      <rPr>
        <b/>
        <i/>
        <sz val="12"/>
        <color rgb="FF0070C0"/>
        <rFont val="Segoe UI"/>
        <family val="2"/>
      </rPr>
      <t xml:space="preserve">Product </t>
    </r>
    <r>
      <rPr>
        <b/>
        <sz val="12"/>
        <color rgb="FF0070C0"/>
        <rFont val="Segoe UI"/>
        <family val="2"/>
      </rPr>
      <t>Release Version: v3.198.276.122
Date Start:</t>
    </r>
    <r>
      <rPr>
        <b/>
        <i/>
        <sz val="12"/>
        <color rgb="FF0070C0"/>
        <rFont val="Segoe UI"/>
        <family val="2"/>
      </rPr>
      <t xml:space="preserve"> 30.06.2026</t>
    </r>
    <r>
      <rPr>
        <b/>
        <sz val="12"/>
        <color rgb="FF0070C0"/>
        <rFont val="Segoe UI"/>
        <family val="2"/>
      </rPr>
      <t xml:space="preserve">
Date Ende:</t>
    </r>
    <r>
      <rPr>
        <b/>
        <i/>
        <sz val="12"/>
        <color rgb="FF0070C0"/>
        <rFont val="Segoe UI"/>
        <family val="2"/>
      </rPr>
      <t xml:space="preserve"> 06.07.2026</t>
    </r>
    <r>
      <rPr>
        <b/>
        <sz val="12"/>
        <color rgb="FF0070C0"/>
        <rFont val="Segoe UI"/>
        <family val="2"/>
      </rPr>
      <t xml:space="preserve"> Test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</si>
</sst>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u/>
      <sz val="11"/>
      <color theme="10"/>
      <name val="Calibri"/>
      <family val="2"/>
      <scheme val="minor"/>
    </font>
    <font>
      <b/>
      <sz val="11"/>
      <color theme="4"/>
      <name val="Calibri"/>
      <family val="2"/>
      <scheme val="minor"/>
    </font>
    <font>
      <sz val="11"/>
      <color theme="4"/>
      <name val="Calibri"/>
      <family val="2"/>
      <scheme val="minor"/>
    </font>
    <font>
      <sz val="8"/>
      <name val="Calibri"/>
      <family val="2"/>
      <scheme val="minor"/>
    </font>
    <font>
      <b/>
      <sz val="12"/>
      <color rgb="FF0070C0"/>
      <name val="Segoe UI"/>
      <family val="2"/>
    </font>
    <font>
      <b/>
      <i/>
      <sz val="12"/>
      <color rgb="FF0070C0"/>
      <name val="Segoe UI"/>
      <family val="2"/>
    </font>
    <font>
      <b/>
      <sz val="12"/>
      <color theme="1"/>
      <name val="Segoe UI"/>
      <family val="2"/>
    </font>
    <font>
      <sz val="11"/>
      <color theme="1"/>
      <name val="Segoe UI"/>
      <family val="2"/>
    </font>
    <font>
      <sz val="12"/>
      <color rgb="FF0070C0"/>
      <name val="Segoe UI"/>
      <family val="2"/>
    </font>
    <font>
      <b/>
      <sz val="11"/>
      <color theme="1"/>
      <name val="Segoe UI"/>
      <family val="2"/>
    </font>
    <font>
      <b/>
      <sz val="11"/>
      <name val="Segoe UI"/>
      <family val="2"/>
    </font>
    <font>
      <sz val="11"/>
      <name val="Segoe UI"/>
      <family val="2"/>
    </font>
    <font>
      <strike/>
      <sz val="11"/>
      <name val="Segoe UI"/>
      <family val="2"/>
    </font>
    <font>
      <u/>
      <sz val="11"/>
      <name val="Segoe UI"/>
      <family val="2"/>
    </font>
    <font>
      <b/>
      <u/>
      <sz val="11"/>
      <name val="Segoe UI"/>
      <family val="2"/>
    </font>
    <font>
      <sz val="11"/>
      <color rgb="FFFF0000"/>
      <name val="Segoe UI"/>
      <family val="2"/>
    </font>
    <font>
      <b/>
      <sz val="11"/>
      <color theme="0" tint="-0.499984740745262"/>
      <name val="Segoe UI"/>
      <family val="2"/>
    </font>
    <font>
      <b/>
      <sz val="11"/>
      <color rgb="FF00B0F0"/>
      <name val="Segoe UI"/>
      <family val="2"/>
    </font>
    <font>
      <sz val="11"/>
      <color rgb="FF0070C0"/>
      <name val="Segoe UI"/>
      <family val="2"/>
    </font>
    <font>
      <sz val="11"/>
      <color rgb="FF00B0F0"/>
      <name val="Segoe UI"/>
      <family val="2"/>
    </font>
    <font>
      <b/>
      <sz val="11"/>
      <color rgb="FF6A9AE8"/>
      <name val="Segoe UI"/>
      <family val="2"/>
    </font>
    <font>
      <sz val="11"/>
      <color rgb="FF6A9AE8"/>
      <name val="Segoe UI"/>
      <family val="2"/>
    </font>
    <font>
      <b/>
      <strike/>
      <sz val="11"/>
      <color rgb="FF00B0F0"/>
      <name val="Segoe UI"/>
      <family val="2"/>
    </font>
    <font>
      <strike/>
      <sz val="11"/>
      <color rgb="FF00B0F0"/>
      <name val="Segoe UI"/>
      <family val="2"/>
    </font>
    <font>
      <b/>
      <strike/>
      <sz val="11"/>
      <name val="Segoe UI"/>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000"/>
        <bgColor indexed="64"/>
      </patternFill>
    </fill>
    <fill>
      <patternFill patternType="solid">
        <fgColor theme="9" tint="0.59999389629810485"/>
        <bgColor indexed="64"/>
      </patternFill>
    </fill>
  </fills>
  <borders count="44">
    <border>
      <left/>
      <right/>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3" tint="0.39997558519241921"/>
      </left>
      <right style="thin">
        <color theme="3" tint="0.39997558519241921"/>
      </right>
      <top/>
      <bottom style="thin">
        <color theme="3" tint="0.39997558519241921"/>
      </bottom>
      <diagonal/>
    </border>
    <border>
      <left style="thin">
        <color theme="3" tint="0.39997558519241921"/>
      </left>
      <right style="thin">
        <color theme="3" tint="0.39997558519241921"/>
      </right>
      <top style="thin">
        <color theme="3" tint="0.39997558519241921"/>
      </top>
      <bottom/>
      <diagonal/>
    </border>
    <border>
      <left/>
      <right style="thin">
        <color theme="3" tint="0.39997558519241921"/>
      </right>
      <top style="thin">
        <color theme="3" tint="0.39997558519241921"/>
      </top>
      <bottom/>
      <diagonal/>
    </border>
    <border>
      <left style="thin">
        <color theme="3" tint="0.39997558519241921"/>
      </left>
      <right style="thin">
        <color theme="3" tint="0.39997558519241921"/>
      </right>
      <top/>
      <bottom/>
      <diagonal/>
    </border>
    <border>
      <left/>
      <right style="thin">
        <color theme="3" tint="0.39997558519241921"/>
      </right>
      <top/>
      <bottom/>
      <diagonal/>
    </border>
    <border>
      <left style="thin">
        <color theme="4"/>
      </left>
      <right style="thin">
        <color theme="4"/>
      </right>
      <top style="thin">
        <color theme="4"/>
      </top>
      <bottom style="thin">
        <color theme="4"/>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diagonal/>
    </border>
    <border>
      <left style="medium">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style="thin">
        <color theme="3" tint="0.39997558519241921"/>
      </right>
      <top/>
      <bottom style="thin">
        <color theme="3"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theme="4"/>
      </left>
      <right style="thin">
        <color theme="4"/>
      </right>
      <top/>
      <bottom/>
      <diagonal/>
    </border>
    <border>
      <left style="medium">
        <color theme="4"/>
      </left>
      <right style="thin">
        <color theme="4"/>
      </right>
      <top/>
      <bottom style="thin">
        <color theme="4"/>
      </bottom>
      <diagonal/>
    </border>
    <border>
      <left style="thin">
        <color theme="3" tint="0.39997558519241921"/>
      </left>
      <right/>
      <top/>
      <bottom style="thin">
        <color theme="3" tint="0.39997558519241921"/>
      </bottom>
      <diagonal/>
    </border>
    <border>
      <left style="thin">
        <color theme="4"/>
      </left>
      <right style="thin">
        <color theme="3" tint="0.39997558519241921"/>
      </right>
      <top style="thin">
        <color theme="3" tint="0.39997558519241921"/>
      </top>
      <bottom/>
      <diagonal/>
    </border>
    <border>
      <left style="thin">
        <color theme="4"/>
      </left>
      <right style="thin">
        <color theme="3" tint="0.39997558519241921"/>
      </right>
      <top/>
      <bottom/>
      <diagonal/>
    </border>
    <border>
      <left style="thin">
        <color theme="4"/>
      </left>
      <right style="thin">
        <color theme="3" tint="0.39997558519241921"/>
      </right>
      <top/>
      <bottom style="thin">
        <color theme="3" tint="0.39997558519241921"/>
      </bottom>
      <diagonal/>
    </border>
    <border>
      <left style="thin">
        <color theme="4"/>
      </left>
      <right style="thin">
        <color theme="3" tint="0.39997558519241921"/>
      </right>
      <top style="thin">
        <color theme="4"/>
      </top>
      <bottom/>
      <diagonal/>
    </border>
    <border>
      <left style="thin">
        <color theme="3" tint="0.39997558519241921"/>
      </left>
      <right style="thin">
        <color theme="4"/>
      </right>
      <top style="thin">
        <color theme="3" tint="0.39997558519241921"/>
      </top>
      <bottom/>
      <diagonal/>
    </border>
    <border>
      <left style="thin">
        <color theme="3" tint="0.39997558519241921"/>
      </left>
      <right style="thin">
        <color theme="4"/>
      </right>
      <top/>
      <bottom/>
      <diagonal/>
    </border>
    <border>
      <left style="thin">
        <color theme="4"/>
      </left>
      <right style="thin">
        <color theme="3" tint="0.39997558519241921"/>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s>
  <cellStyleXfs count="5">
    <xf numFmtId="0" fontId="0" fillId="0" borderId="0"/>
    <xf numFmtId="0" fontId="4" fillId="10"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7" fillId="0" borderId="0" applyNumberFormat="0" applyFill="0" applyBorder="0" applyAlignment="0" applyProtection="0"/>
  </cellStyleXfs>
  <cellXfs count="305">
    <xf numFmtId="0" fontId="0" fillId="0" borderId="0" xfId="0"/>
    <xf numFmtId="0" fontId="0" fillId="0" borderId="0" xfId="0" applyAlignment="1">
      <alignment horizontal="left" vertical="top" wrapText="1"/>
    </xf>
    <xf numFmtId="0" fontId="0" fillId="3" borderId="0" xfId="0" applyFill="1" applyAlignment="1">
      <alignment horizontal="left" vertical="center"/>
    </xf>
    <xf numFmtId="0" fontId="0" fillId="4" borderId="0" xfId="0" applyFill="1"/>
    <xf numFmtId="0" fontId="0" fillId="4" borderId="0" xfId="0" applyFill="1" applyAlignment="1">
      <alignment horizontal="left" vertical="center"/>
    </xf>
    <xf numFmtId="0" fontId="0" fillId="5" borderId="0" xfId="0" applyFill="1" applyAlignment="1">
      <alignment horizontal="left" vertical="center"/>
    </xf>
    <xf numFmtId="0" fontId="0" fillId="6" borderId="0" xfId="0" applyFill="1" applyAlignment="1">
      <alignment horizontal="left" vertical="center"/>
    </xf>
    <xf numFmtId="0" fontId="0" fillId="7" borderId="0" xfId="0" applyFill="1" applyAlignment="1">
      <alignment horizontal="left" vertical="center"/>
    </xf>
    <xf numFmtId="0" fontId="0" fillId="0" borderId="0" xfId="0" applyAlignment="1">
      <alignment horizontal="left" indent="1"/>
    </xf>
    <xf numFmtId="0" fontId="0" fillId="0" borderId="0" xfId="0" applyAlignment="1">
      <alignment horizontal="left"/>
    </xf>
    <xf numFmtId="0" fontId="0" fillId="0" borderId="6" xfId="0" applyBorder="1"/>
    <xf numFmtId="0" fontId="0" fillId="0" borderId="5" xfId="0" applyBorder="1"/>
    <xf numFmtId="0" fontId="0" fillId="0" borderId="4" xfId="0" applyBorder="1" applyAlignment="1">
      <alignment vertical="top"/>
    </xf>
    <xf numFmtId="0" fontId="0" fillId="0" borderId="7" xfId="0" applyBorder="1"/>
    <xf numFmtId="0" fontId="0" fillId="0" borderId="8" xfId="0" applyBorder="1"/>
    <xf numFmtId="0" fontId="0" fillId="0" borderId="3" xfId="0" applyBorder="1"/>
    <xf numFmtId="0" fontId="0" fillId="0" borderId="2" xfId="0" applyBorder="1"/>
    <xf numFmtId="0" fontId="0" fillId="0" borderId="1" xfId="0" applyBorder="1"/>
    <xf numFmtId="9" fontId="0" fillId="0" borderId="6" xfId="0" applyNumberFormat="1" applyBorder="1"/>
    <xf numFmtId="0" fontId="0" fillId="0" borderId="4" xfId="0" applyBorder="1"/>
    <xf numFmtId="9" fontId="0" fillId="0" borderId="7" xfId="0" applyNumberFormat="1" applyBorder="1"/>
    <xf numFmtId="0" fontId="0" fillId="0" borderId="0" xfId="0" applyAlignment="1">
      <alignment horizontal="left" vertical="center"/>
    </xf>
    <xf numFmtId="0" fontId="0" fillId="9" borderId="0" xfId="0" applyFill="1" applyAlignment="1">
      <alignment horizontal="left" vertical="center"/>
    </xf>
    <xf numFmtId="0" fontId="4" fillId="10" borderId="0" xfId="1"/>
    <xf numFmtId="0" fontId="0" fillId="0" borderId="22" xfId="0" applyBorder="1"/>
    <xf numFmtId="14" fontId="0" fillId="0" borderId="22" xfId="0" applyNumberFormat="1" applyBorder="1"/>
    <xf numFmtId="0" fontId="0" fillId="0" borderId="24" xfId="0" applyBorder="1"/>
    <xf numFmtId="0" fontId="1" fillId="0" borderId="22" xfId="0" applyFont="1" applyBorder="1"/>
    <xf numFmtId="14" fontId="0" fillId="0" borderId="22" xfId="0" applyNumberFormat="1" applyBorder="1" applyAlignment="1">
      <alignment horizontal="right"/>
    </xf>
    <xf numFmtId="0" fontId="0" fillId="2" borderId="22" xfId="0" applyFill="1" applyBorder="1"/>
    <xf numFmtId="0" fontId="0" fillId="0" borderId="23" xfId="0" applyBorder="1" applyAlignment="1">
      <alignment wrapText="1"/>
    </xf>
    <xf numFmtId="0" fontId="0" fillId="0" borderId="23" xfId="0" applyBorder="1"/>
    <xf numFmtId="14" fontId="0" fillId="0" borderId="23" xfId="0" applyNumberFormat="1" applyBorder="1" applyAlignment="1">
      <alignment horizontal="right"/>
    </xf>
    <xf numFmtId="0" fontId="9" fillId="3" borderId="17" xfId="0" applyFont="1" applyFill="1" applyBorder="1" applyAlignment="1">
      <alignment vertical="top" wrapText="1"/>
    </xf>
    <xf numFmtId="0" fontId="8" fillId="3" borderId="27" xfId="0" applyFont="1" applyFill="1" applyBorder="1" applyAlignment="1">
      <alignment vertical="top" wrapText="1"/>
    </xf>
    <xf numFmtId="0" fontId="9" fillId="3" borderId="19" xfId="0" applyFont="1" applyFill="1" applyBorder="1" applyAlignment="1">
      <alignment vertical="top" wrapText="1"/>
    </xf>
    <xf numFmtId="0" fontId="0" fillId="13" borderId="9" xfId="0" applyFill="1" applyBorder="1" applyAlignment="1">
      <alignment vertical="top" wrapText="1"/>
    </xf>
    <xf numFmtId="0" fontId="3" fillId="13" borderId="11" xfId="0" applyFont="1" applyFill="1" applyBorder="1" applyAlignment="1">
      <alignment vertical="top" wrapText="1"/>
    </xf>
    <xf numFmtId="0" fontId="3" fillId="13" borderId="9" xfId="0" applyFont="1" applyFill="1" applyBorder="1" applyAlignment="1">
      <alignment vertical="top" wrapText="1"/>
    </xf>
    <xf numFmtId="0" fontId="3" fillId="13" borderId="15" xfId="0" applyFont="1" applyFill="1" applyBorder="1" applyAlignment="1">
      <alignment vertical="top" wrapText="1"/>
    </xf>
    <xf numFmtId="0" fontId="3" fillId="13" borderId="10" xfId="0" applyFont="1" applyFill="1" applyBorder="1" applyAlignment="1">
      <alignment vertical="top" wrapText="1"/>
    </xf>
    <xf numFmtId="0" fontId="9" fillId="13" borderId="27" xfId="0" applyFont="1" applyFill="1" applyBorder="1" applyAlignment="1">
      <alignment vertical="top" wrapText="1"/>
    </xf>
    <xf numFmtId="0" fontId="8" fillId="13" borderId="27" xfId="0" applyFont="1" applyFill="1" applyBorder="1" applyAlignment="1">
      <alignment vertical="top" wrapText="1"/>
    </xf>
    <xf numFmtId="0" fontId="0" fillId="13" borderId="15" xfId="0" applyFill="1" applyBorder="1" applyAlignment="1">
      <alignment horizontal="left" vertical="top" wrapText="1"/>
    </xf>
    <xf numFmtId="0" fontId="0" fillId="13" borderId="15" xfId="0" applyFill="1" applyBorder="1" applyAlignment="1">
      <alignment vertical="top" wrapText="1"/>
    </xf>
    <xf numFmtId="0" fontId="3" fillId="13" borderId="15" xfId="2" applyFont="1" applyFill="1" applyBorder="1" applyAlignment="1">
      <alignment vertical="top" wrapText="1"/>
    </xf>
    <xf numFmtId="0" fontId="1" fillId="3" borderId="15" xfId="0" applyFont="1" applyFill="1" applyBorder="1" applyAlignment="1">
      <alignment horizontal="left" vertical="top" wrapText="1"/>
    </xf>
    <xf numFmtId="0" fontId="1" fillId="3" borderId="15" xfId="0" applyFont="1" applyFill="1" applyBorder="1" applyAlignment="1">
      <alignment vertical="top" wrapText="1"/>
    </xf>
    <xf numFmtId="0" fontId="1" fillId="3" borderId="10" xfId="0" applyFont="1" applyFill="1" applyBorder="1" applyAlignment="1">
      <alignment vertical="top" wrapText="1"/>
    </xf>
    <xf numFmtId="0" fontId="2" fillId="3" borderId="11" xfId="0" applyFont="1" applyFill="1" applyBorder="1" applyAlignment="1">
      <alignment vertical="top" wrapText="1"/>
    </xf>
    <xf numFmtId="0" fontId="2" fillId="3" borderId="10" xfId="0" applyFont="1" applyFill="1" applyBorder="1" applyAlignment="1">
      <alignment vertical="top" wrapText="1"/>
    </xf>
    <xf numFmtId="0" fontId="3" fillId="3" borderId="10" xfId="0" applyFont="1" applyFill="1" applyBorder="1" applyAlignment="1">
      <alignment vertical="top" wrapText="1"/>
    </xf>
    <xf numFmtId="0" fontId="2" fillId="3" borderId="9" xfId="0" applyFont="1" applyFill="1" applyBorder="1" applyAlignment="1">
      <alignment vertical="top" wrapText="1"/>
    </xf>
    <xf numFmtId="0" fontId="2" fillId="3" borderId="15" xfId="0" applyFont="1" applyFill="1" applyBorder="1" applyAlignment="1">
      <alignment vertical="top" wrapText="1"/>
    </xf>
    <xf numFmtId="0" fontId="7" fillId="0" borderId="22" xfId="4" applyBorder="1"/>
    <xf numFmtId="14" fontId="0" fillId="0" borderId="23" xfId="0" applyNumberFormat="1" applyBorder="1" applyAlignment="1">
      <alignment horizontal="right" vertical="top"/>
    </xf>
    <xf numFmtId="14" fontId="0" fillId="0" borderId="24" xfId="0" applyNumberFormat="1" applyBorder="1" applyAlignment="1">
      <alignment horizontal="right" vertical="top"/>
    </xf>
    <xf numFmtId="14" fontId="0" fillId="0" borderId="23" xfId="0" applyNumberFormat="1" applyBorder="1" applyAlignment="1">
      <alignment horizontal="left" vertical="top"/>
    </xf>
    <xf numFmtId="14" fontId="0" fillId="0" borderId="24" xfId="0" applyNumberFormat="1" applyBorder="1" applyAlignment="1">
      <alignment horizontal="left" vertical="top"/>
    </xf>
    <xf numFmtId="14" fontId="0" fillId="0" borderId="23" xfId="0" applyNumberFormat="1" applyBorder="1"/>
    <xf numFmtId="14" fontId="0" fillId="0" borderId="24" xfId="0" applyNumberFormat="1" applyBorder="1"/>
    <xf numFmtId="0" fontId="7" fillId="0" borderId="3" xfId="4" applyBorder="1"/>
    <xf numFmtId="0" fontId="7" fillId="0" borderId="6" xfId="4" applyBorder="1"/>
    <xf numFmtId="0" fontId="7" fillId="0" borderId="24" xfId="4" applyBorder="1"/>
    <xf numFmtId="0" fontId="7" fillId="0" borderId="22" xfId="4" applyFill="1" applyBorder="1"/>
    <xf numFmtId="14" fontId="0" fillId="0" borderId="36" xfId="0" applyNumberFormat="1" applyBorder="1"/>
    <xf numFmtId="0" fontId="14" fillId="0" borderId="0" xfId="0" applyFont="1"/>
    <xf numFmtId="0" fontId="16" fillId="0" borderId="24" xfId="0" applyFont="1" applyBorder="1" applyAlignment="1">
      <alignment horizontal="center" vertical="center" wrapText="1"/>
    </xf>
    <xf numFmtId="0" fontId="16" fillId="14" borderId="24" xfId="0" applyFont="1" applyFill="1" applyBorder="1" applyAlignment="1">
      <alignment horizontal="center" vertical="center" wrapText="1"/>
    </xf>
    <xf numFmtId="0" fontId="17" fillId="0" borderId="22" xfId="0" applyFont="1" applyBorder="1" applyAlignment="1">
      <alignment vertical="top" wrapText="1"/>
    </xf>
    <xf numFmtId="0" fontId="18" fillId="0" borderId="22" xfId="0" applyFont="1" applyBorder="1" applyAlignment="1">
      <alignment vertical="top" wrapText="1"/>
    </xf>
    <xf numFmtId="0" fontId="17" fillId="0" borderId="23" xfId="0" applyFont="1" applyBorder="1" applyAlignment="1">
      <alignment vertical="top" wrapText="1"/>
    </xf>
    <xf numFmtId="0" fontId="18" fillId="0" borderId="23" xfId="0" applyFont="1" applyBorder="1" applyAlignment="1">
      <alignment horizontal="center" vertical="center"/>
    </xf>
    <xf numFmtId="0" fontId="17" fillId="0" borderId="23"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23" xfId="0" applyFont="1" applyBorder="1" applyAlignment="1">
      <alignment vertical="top" wrapText="1"/>
    </xf>
    <xf numFmtId="0" fontId="14" fillId="0" borderId="0" xfId="0" applyFont="1" applyAlignment="1">
      <alignment horizontal="center" vertical="center"/>
    </xf>
    <xf numFmtId="0" fontId="15" fillId="0" borderId="35" xfId="0" applyFont="1" applyBorder="1" applyAlignment="1">
      <alignment horizontal="center" vertical="center" wrapText="1"/>
    </xf>
    <xf numFmtId="0" fontId="11" fillId="2" borderId="35" xfId="0" applyFont="1" applyFill="1" applyBorder="1" applyAlignment="1">
      <alignment vertical="top" wrapText="1"/>
    </xf>
    <xf numFmtId="0" fontId="11" fillId="2" borderId="8" xfId="0" applyFont="1" applyFill="1" applyBorder="1" applyAlignment="1">
      <alignment vertical="top" wrapText="1"/>
    </xf>
    <xf numFmtId="0" fontId="17" fillId="0" borderId="40" xfId="0" applyFont="1" applyBorder="1" applyAlignment="1">
      <alignment vertical="top" wrapText="1"/>
    </xf>
    <xf numFmtId="0" fontId="18" fillId="0" borderId="22" xfId="0" applyFont="1" applyBorder="1" applyAlignment="1">
      <alignment horizontal="center" vertical="center"/>
    </xf>
    <xf numFmtId="0" fontId="18" fillId="0" borderId="22" xfId="1" applyFont="1" applyFill="1" applyBorder="1" applyAlignment="1">
      <alignment horizontal="center" vertical="center"/>
    </xf>
    <xf numFmtId="0" fontId="17" fillId="0" borderId="22" xfId="0" applyFont="1" applyBorder="1" applyAlignment="1">
      <alignment horizontal="center" vertical="center" wrapText="1"/>
    </xf>
    <xf numFmtId="0" fontId="18" fillId="0" borderId="22" xfId="0" applyFont="1" applyBorder="1" applyAlignment="1">
      <alignment horizontal="center" vertical="center" wrapText="1"/>
    </xf>
    <xf numFmtId="0" fontId="17" fillId="0" borderId="41" xfId="0" applyFont="1" applyBorder="1" applyAlignment="1">
      <alignment horizontal="center" vertical="center" wrapText="1"/>
    </xf>
    <xf numFmtId="0" fontId="18" fillId="0" borderId="22" xfId="0" applyFont="1" applyBorder="1" applyAlignment="1">
      <alignment vertical="center" wrapText="1"/>
    </xf>
    <xf numFmtId="0" fontId="20" fillId="0" borderId="22" xfId="4" applyFont="1" applyFill="1" applyBorder="1" applyAlignment="1">
      <alignment vertical="top" wrapText="1"/>
    </xf>
    <xf numFmtId="0" fontId="18" fillId="0" borderId="41" xfId="0" applyFont="1" applyBorder="1" applyAlignment="1">
      <alignment vertical="top" wrapText="1"/>
    </xf>
    <xf numFmtId="14" fontId="18" fillId="0" borderId="22" xfId="1" applyNumberFormat="1" applyFont="1" applyFill="1" applyBorder="1" applyAlignment="1">
      <alignment horizontal="center" vertical="center"/>
    </xf>
    <xf numFmtId="0" fontId="18" fillId="0" borderId="22" xfId="2" applyFont="1" applyFill="1" applyBorder="1" applyAlignment="1">
      <alignment horizontal="center" vertical="center"/>
    </xf>
    <xf numFmtId="0" fontId="18" fillId="0" borderId="22" xfId="0" applyFont="1" applyBorder="1"/>
    <xf numFmtId="0" fontId="18" fillId="0" borderId="41" xfId="0" applyFont="1" applyBorder="1"/>
    <xf numFmtId="0" fontId="18" fillId="0" borderId="22" xfId="0" quotePrefix="1" applyFont="1" applyBorder="1" applyAlignment="1">
      <alignment horizontal="center" vertical="center"/>
    </xf>
    <xf numFmtId="0" fontId="17" fillId="0" borderId="3" xfId="0" applyFont="1" applyBorder="1" applyAlignment="1">
      <alignment vertical="top" wrapText="1"/>
    </xf>
    <xf numFmtId="0" fontId="18" fillId="0" borderId="23" xfId="0" applyFont="1" applyBorder="1" applyAlignment="1">
      <alignment horizontal="left" vertical="top" wrapText="1"/>
    </xf>
    <xf numFmtId="0" fontId="17" fillId="0" borderId="23" xfId="0" applyFont="1" applyBorder="1" applyAlignment="1">
      <alignment horizontal="left" vertical="top" wrapText="1"/>
    </xf>
    <xf numFmtId="0" fontId="18" fillId="0" borderId="23" xfId="0" applyFont="1" applyBorder="1"/>
    <xf numFmtId="0" fontId="18" fillId="0" borderId="1" xfId="0" applyFont="1" applyBorder="1"/>
    <xf numFmtId="0" fontId="16" fillId="8" borderId="24" xfId="0" applyFont="1" applyFill="1" applyBorder="1" applyAlignment="1">
      <alignment vertical="center" wrapText="1"/>
    </xf>
    <xf numFmtId="0" fontId="16" fillId="8" borderId="4" xfId="0" applyFont="1" applyFill="1" applyBorder="1" applyAlignment="1">
      <alignment vertical="center" wrapText="1"/>
    </xf>
    <xf numFmtId="0" fontId="17" fillId="0" borderId="22" xfId="0" applyFont="1" applyBorder="1" applyAlignment="1">
      <alignment horizontal="center" vertical="center"/>
    </xf>
    <xf numFmtId="0" fontId="16" fillId="0" borderId="6" xfId="0" applyFont="1" applyBorder="1" applyAlignment="1">
      <alignment horizontal="center" vertical="center" wrapText="1"/>
    </xf>
    <xf numFmtId="0" fontId="17" fillId="0" borderId="22" xfId="2" applyFont="1" applyFill="1" applyBorder="1" applyAlignment="1">
      <alignment vertical="top" wrapText="1"/>
    </xf>
    <xf numFmtId="0" fontId="18" fillId="0" borderId="22" xfId="2" applyFont="1" applyFill="1" applyBorder="1" applyAlignment="1">
      <alignment vertical="top" wrapText="1"/>
    </xf>
    <xf numFmtId="0" fontId="17" fillId="0" borderId="40" xfId="3" applyFont="1" applyFill="1" applyBorder="1" applyAlignment="1">
      <alignment horizontal="left" vertical="top" wrapText="1"/>
    </xf>
    <xf numFmtId="0" fontId="18" fillId="0" borderId="22" xfId="3" applyFont="1" applyFill="1" applyBorder="1" applyAlignment="1">
      <alignment horizontal="left" vertical="top" wrapText="1"/>
    </xf>
    <xf numFmtId="0" fontId="17" fillId="0" borderId="22" xfId="3" applyFont="1" applyFill="1" applyBorder="1" applyAlignment="1">
      <alignment horizontal="left" vertical="top" wrapText="1"/>
    </xf>
    <xf numFmtId="0" fontId="18" fillId="0" borderId="22" xfId="3" applyFont="1" applyFill="1" applyBorder="1" applyAlignment="1">
      <alignment horizontal="center" vertical="center"/>
    </xf>
    <xf numFmtId="0" fontId="17" fillId="0" borderId="6" xfId="0" applyFont="1" applyBorder="1" applyAlignment="1">
      <alignment horizontal="center" vertical="center" wrapText="1"/>
    </xf>
    <xf numFmtId="0" fontId="17" fillId="0" borderId="24" xfId="0" applyFont="1" applyBorder="1" applyAlignment="1">
      <alignment horizontal="center" vertical="center" wrapText="1"/>
    </xf>
    <xf numFmtId="0" fontId="17" fillId="14" borderId="24" xfId="0" applyFont="1" applyFill="1" applyBorder="1" applyAlignment="1">
      <alignment horizontal="center" vertical="center" wrapText="1"/>
    </xf>
    <xf numFmtId="0" fontId="17" fillId="8" borderId="24" xfId="0" applyFont="1" applyFill="1" applyBorder="1" applyAlignment="1">
      <alignment vertical="center" wrapText="1"/>
    </xf>
    <xf numFmtId="0" fontId="17" fillId="8" borderId="4" xfId="0" applyFont="1" applyFill="1" applyBorder="1" applyAlignment="1">
      <alignment vertical="center" wrapText="1"/>
    </xf>
    <xf numFmtId="0" fontId="17" fillId="0" borderId="22" xfId="0" applyFont="1" applyBorder="1" applyAlignment="1">
      <alignment horizontal="left" vertical="top" wrapText="1"/>
    </xf>
    <xf numFmtId="0" fontId="17" fillId="0" borderId="40" xfId="0" applyFont="1" applyBorder="1" applyAlignment="1">
      <alignment horizontal="left" vertical="top" wrapText="1"/>
    </xf>
    <xf numFmtId="0" fontId="18" fillId="0" borderId="22" xfId="0" applyFont="1" applyBorder="1" applyAlignment="1">
      <alignment horizontal="left" vertical="top" wrapText="1"/>
    </xf>
    <xf numFmtId="14" fontId="18" fillId="0" borderId="22" xfId="0" applyNumberFormat="1" applyFont="1" applyBorder="1" applyAlignment="1">
      <alignment horizontal="center" vertical="center"/>
    </xf>
    <xf numFmtId="0" fontId="17" fillId="0" borderId="22" xfId="0" applyFont="1" applyBorder="1" applyAlignment="1">
      <alignment vertical="top"/>
    </xf>
    <xf numFmtId="0" fontId="18" fillId="0" borderId="22" xfId="0" applyFont="1" applyBorder="1" applyAlignment="1">
      <alignment horizontal="left" vertical="top"/>
    </xf>
    <xf numFmtId="0" fontId="17" fillId="0" borderId="40" xfId="0" applyFont="1" applyBorder="1" applyAlignment="1">
      <alignment horizontal="center" vertical="top" wrapText="1"/>
    </xf>
    <xf numFmtId="0" fontId="18" fillId="0" borderId="22" xfId="0" applyFont="1" applyBorder="1" applyAlignment="1">
      <alignment horizontal="center" vertical="top" wrapText="1"/>
    </xf>
    <xf numFmtId="0" fontId="21" fillId="0" borderId="22" xfId="4" applyFont="1" applyFill="1" applyBorder="1" applyAlignment="1">
      <alignment vertical="top" wrapText="1"/>
    </xf>
    <xf numFmtId="0" fontId="17" fillId="0" borderId="41" xfId="0" applyFont="1" applyBorder="1" applyAlignment="1">
      <alignment vertical="top" wrapText="1"/>
    </xf>
    <xf numFmtId="0" fontId="17" fillId="0" borderId="22" xfId="0" applyFont="1" applyBorder="1"/>
    <xf numFmtId="0" fontId="17" fillId="0" borderId="41" xfId="0" applyFont="1" applyBorder="1"/>
    <xf numFmtId="0" fontId="17" fillId="0" borderId="23" xfId="0" applyFont="1" applyBorder="1" applyAlignment="1">
      <alignment horizontal="center" vertical="center"/>
    </xf>
    <xf numFmtId="0" fontId="17" fillId="0" borderId="23" xfId="0" applyFont="1" applyBorder="1"/>
    <xf numFmtId="0" fontId="17" fillId="0" borderId="1" xfId="0" applyFont="1" applyBorder="1"/>
    <xf numFmtId="0" fontId="7" fillId="0" borderId="15" xfId="4" applyFill="1" applyBorder="1" applyAlignment="1">
      <alignment vertical="center" wrapText="1"/>
    </xf>
    <xf numFmtId="0" fontId="16" fillId="0" borderId="7" xfId="0" applyFont="1" applyBorder="1" applyAlignment="1">
      <alignment horizontal="center" vertical="center" wrapText="1"/>
    </xf>
    <xf numFmtId="0" fontId="16" fillId="0" borderId="35" xfId="0" applyFont="1" applyBorder="1" applyAlignment="1">
      <alignment horizontal="center" vertical="center" wrapText="1"/>
    </xf>
    <xf numFmtId="0" fontId="16" fillId="14" borderId="22" xfId="0" applyFont="1" applyFill="1" applyBorder="1" applyAlignment="1">
      <alignment horizontal="center" vertical="center" wrapText="1"/>
    </xf>
    <xf numFmtId="0" fontId="16" fillId="8" borderId="22" xfId="0" applyFont="1" applyFill="1" applyBorder="1" applyAlignment="1">
      <alignment vertical="center" wrapText="1"/>
    </xf>
    <xf numFmtId="0" fontId="14" fillId="0" borderId="22" xfId="0" applyFont="1" applyBorder="1"/>
    <xf numFmtId="0" fontId="16" fillId="0" borderId="22" xfId="0" applyFont="1" applyBorder="1" applyAlignment="1">
      <alignment horizontal="center" vertical="center" wrapText="1"/>
    </xf>
    <xf numFmtId="0" fontId="11" fillId="2" borderId="22" xfId="0" applyFont="1" applyFill="1" applyBorder="1" applyAlignment="1">
      <alignment vertical="top" wrapText="1"/>
    </xf>
    <xf numFmtId="0" fontId="15" fillId="0" borderId="22" xfId="0" applyFont="1" applyBorder="1" applyAlignment="1">
      <alignment horizontal="center" vertical="center" wrapText="1"/>
    </xf>
    <xf numFmtId="0" fontId="11" fillId="2" borderId="36" xfId="0" applyFont="1" applyFill="1" applyBorder="1" applyAlignment="1">
      <alignment vertical="top" wrapText="1"/>
    </xf>
    <xf numFmtId="0" fontId="11" fillId="2" borderId="40" xfId="0" applyFont="1" applyFill="1" applyBorder="1" applyAlignment="1">
      <alignment vertical="top" wrapText="1"/>
    </xf>
    <xf numFmtId="0" fontId="16" fillId="0" borderId="40" xfId="0" applyFont="1" applyBorder="1" applyAlignment="1">
      <alignment horizontal="center" vertical="center" wrapText="1"/>
    </xf>
    <xf numFmtId="0" fontId="16" fillId="8" borderId="41" xfId="0" applyFont="1" applyFill="1" applyBorder="1" applyAlignment="1">
      <alignment vertical="center" wrapText="1"/>
    </xf>
    <xf numFmtId="0" fontId="16" fillId="0" borderId="23" xfId="0" applyFont="1" applyBorder="1" applyAlignment="1">
      <alignment horizontal="center" vertical="center" wrapText="1"/>
    </xf>
    <xf numFmtId="0" fontId="16" fillId="14" borderId="23" xfId="0" applyFont="1" applyFill="1" applyBorder="1" applyAlignment="1">
      <alignment horizontal="center" vertical="center" wrapText="1"/>
    </xf>
    <xf numFmtId="0" fontId="16" fillId="8" borderId="23" xfId="0" applyFont="1" applyFill="1" applyBorder="1" applyAlignment="1">
      <alignment vertical="center" wrapText="1"/>
    </xf>
    <xf numFmtId="0" fontId="16" fillId="8" borderId="1" xfId="0" applyFont="1" applyFill="1" applyBorder="1" applyAlignment="1">
      <alignment vertical="center" wrapText="1"/>
    </xf>
    <xf numFmtId="0" fontId="16" fillId="0" borderId="3" xfId="0" applyFont="1" applyBorder="1" applyAlignment="1">
      <alignment horizontal="center" vertical="center" wrapText="1"/>
    </xf>
    <xf numFmtId="0" fontId="14" fillId="0" borderId="0" xfId="0" applyFont="1" applyAlignment="1">
      <alignment vertical="top" wrapText="1"/>
    </xf>
    <xf numFmtId="0" fontId="14" fillId="0" borderId="22" xfId="0" applyFont="1" applyBorder="1" applyAlignment="1">
      <alignment horizontal="left" vertical="top" wrapText="1"/>
    </xf>
    <xf numFmtId="0" fontId="16" fillId="0" borderId="22" xfId="0" applyFont="1" applyBorder="1" applyAlignment="1">
      <alignment horizontal="left" vertical="top" wrapText="1"/>
    </xf>
    <xf numFmtId="0" fontId="22" fillId="0" borderId="22" xfId="0" applyFont="1" applyBorder="1" applyAlignment="1">
      <alignment horizontal="center" vertical="center" wrapText="1"/>
    </xf>
    <xf numFmtId="0" fontId="23" fillId="0" borderId="22"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2" xfId="0" applyFont="1" applyBorder="1" applyAlignment="1">
      <alignment vertical="top" wrapText="1"/>
    </xf>
    <xf numFmtId="0" fontId="14" fillId="0" borderId="41" xfId="0" applyFont="1" applyBorder="1" applyAlignment="1">
      <alignment vertical="top" wrapText="1"/>
    </xf>
    <xf numFmtId="0" fontId="14" fillId="0" borderId="23" xfId="0" applyFont="1" applyBorder="1" applyAlignment="1">
      <alignment horizontal="left" vertical="top" wrapText="1"/>
    </xf>
    <xf numFmtId="0" fontId="16" fillId="0" borderId="23" xfId="0" applyFont="1" applyBorder="1" applyAlignment="1">
      <alignment horizontal="left" vertical="top" wrapText="1"/>
    </xf>
    <xf numFmtId="0" fontId="14" fillId="0" borderId="23" xfId="0" applyFont="1" applyBorder="1" applyAlignment="1">
      <alignment horizontal="center" vertical="center" wrapText="1"/>
    </xf>
    <xf numFmtId="0" fontId="14" fillId="0" borderId="23" xfId="0" applyFont="1" applyBorder="1" applyAlignment="1">
      <alignment vertical="top" wrapText="1"/>
    </xf>
    <xf numFmtId="0" fontId="14" fillId="0" borderId="1" xfId="0" applyFont="1" applyBorder="1" applyAlignment="1">
      <alignment vertical="top" wrapText="1"/>
    </xf>
    <xf numFmtId="0" fontId="14" fillId="0" borderId="0" xfId="0" applyFont="1" applyAlignment="1">
      <alignment horizontal="left" vertical="top" wrapText="1"/>
    </xf>
    <xf numFmtId="0" fontId="14" fillId="0" borderId="0" xfId="0" applyFont="1" applyAlignment="1">
      <alignment horizontal="center" vertical="top" wrapText="1"/>
    </xf>
    <xf numFmtId="0" fontId="14" fillId="2" borderId="0" xfId="0" applyFont="1" applyFill="1" applyAlignment="1">
      <alignment vertical="top" wrapText="1"/>
    </xf>
    <xf numFmtId="0" fontId="16" fillId="0" borderId="40" xfId="0" applyFont="1" applyBorder="1" applyAlignment="1">
      <alignment horizontal="left" vertical="top" wrapText="1"/>
    </xf>
    <xf numFmtId="0" fontId="24" fillId="0" borderId="22" xfId="0" applyFont="1" applyBorder="1" applyAlignment="1">
      <alignment horizontal="center" vertical="center" wrapText="1"/>
    </xf>
    <xf numFmtId="0" fontId="14" fillId="0" borderId="22" xfId="0" quotePrefix="1" applyFont="1" applyBorder="1" applyAlignment="1">
      <alignment horizontal="left" vertical="top" wrapText="1"/>
    </xf>
    <xf numFmtId="0" fontId="18" fillId="0" borderId="22" xfId="0" quotePrefix="1" applyFont="1" applyBorder="1" applyAlignment="1">
      <alignment horizontal="left" vertical="top" wrapText="1"/>
    </xf>
    <xf numFmtId="0" fontId="25" fillId="0" borderId="22" xfId="0" applyFont="1" applyBorder="1" applyAlignment="1">
      <alignment horizontal="center" vertical="center" wrapText="1"/>
    </xf>
    <xf numFmtId="0" fontId="26" fillId="0" borderId="22" xfId="0" applyFont="1" applyBorder="1" applyAlignment="1">
      <alignment horizontal="center" vertical="center" wrapText="1"/>
    </xf>
    <xf numFmtId="0" fontId="16" fillId="0" borderId="40" xfId="3" applyFont="1" applyFill="1" applyBorder="1" applyAlignment="1">
      <alignment horizontal="left" vertical="top" wrapText="1"/>
    </xf>
    <xf numFmtId="0" fontId="14" fillId="0" borderId="22" xfId="0" applyFont="1" applyBorder="1" applyAlignment="1">
      <alignment horizontal="center" vertical="top" wrapText="1"/>
    </xf>
    <xf numFmtId="0" fontId="16" fillId="0" borderId="22" xfId="0" applyFont="1" applyBorder="1" applyAlignment="1">
      <alignment horizontal="left" vertical="center" wrapText="1"/>
    </xf>
    <xf numFmtId="0" fontId="17" fillId="0" borderId="22" xfId="0" applyFont="1" applyBorder="1" applyAlignment="1">
      <alignment horizontal="left" vertical="center" wrapText="1"/>
    </xf>
    <xf numFmtId="0" fontId="16" fillId="0" borderId="22" xfId="0" applyFont="1" applyBorder="1" applyAlignment="1">
      <alignment vertical="top" wrapText="1"/>
    </xf>
    <xf numFmtId="0" fontId="16" fillId="0" borderId="3" xfId="0" applyFont="1" applyBorder="1" applyAlignment="1">
      <alignment horizontal="left" vertical="top" wrapText="1"/>
    </xf>
    <xf numFmtId="0" fontId="16" fillId="0" borderId="23" xfId="0" applyFont="1" applyBorder="1" applyAlignment="1">
      <alignment vertical="top" wrapText="1"/>
    </xf>
    <xf numFmtId="0" fontId="14" fillId="2" borderId="0" xfId="0" applyFont="1" applyFill="1" applyAlignment="1">
      <alignment horizontal="left" vertical="top" wrapText="1"/>
    </xf>
    <xf numFmtId="0" fontId="14" fillId="0" borderId="24" xfId="0" applyFont="1" applyBorder="1" applyAlignment="1">
      <alignment horizontal="center" vertical="center" wrapText="1"/>
    </xf>
    <xf numFmtId="0" fontId="14" fillId="0" borderId="23" xfId="0" applyFont="1" applyBorder="1" applyAlignment="1">
      <alignment vertical="center" wrapText="1"/>
    </xf>
    <xf numFmtId="0" fontId="16" fillId="0" borderId="0" xfId="0" applyFont="1" applyAlignment="1">
      <alignment horizontal="left" vertical="top" wrapText="1"/>
    </xf>
    <xf numFmtId="0" fontId="14" fillId="0" borderId="42" xfId="0" applyFont="1" applyBorder="1" applyAlignment="1">
      <alignment vertical="top" wrapText="1"/>
    </xf>
    <xf numFmtId="0" fontId="14" fillId="0" borderId="43" xfId="0" applyFont="1" applyBorder="1" applyAlignment="1">
      <alignment vertical="top" wrapText="1"/>
    </xf>
    <xf numFmtId="0" fontId="24" fillId="2" borderId="0" xfId="0" applyFont="1" applyFill="1" applyAlignment="1">
      <alignment vertical="top" wrapText="1"/>
    </xf>
    <xf numFmtId="0" fontId="26" fillId="2" borderId="0" xfId="0" applyFont="1" applyFill="1" applyAlignment="1">
      <alignment vertical="top" wrapText="1"/>
    </xf>
    <xf numFmtId="0" fontId="24" fillId="2" borderId="0" xfId="0" applyFont="1" applyFill="1" applyAlignment="1">
      <alignment horizontal="left" vertical="top" wrapText="1"/>
    </xf>
    <xf numFmtId="0" fontId="26" fillId="2" borderId="0" xfId="0" applyFont="1" applyFill="1" applyAlignment="1">
      <alignment horizontal="center" vertical="center" wrapText="1"/>
    </xf>
    <xf numFmtId="0" fontId="24" fillId="2" borderId="0" xfId="0" applyFont="1" applyFill="1" applyAlignment="1">
      <alignment horizontal="center" vertical="center" wrapText="1"/>
    </xf>
    <xf numFmtId="0" fontId="18" fillId="2" borderId="0" xfId="0" applyFont="1" applyFill="1" applyAlignment="1">
      <alignment horizontal="center" vertical="center" wrapText="1"/>
    </xf>
    <xf numFmtId="0" fontId="14" fillId="0" borderId="22" xfId="0" applyFont="1" applyBorder="1" applyAlignment="1">
      <alignment horizontal="center" vertical="center"/>
    </xf>
    <xf numFmtId="0" fontId="16" fillId="0" borderId="40" xfId="0" applyFont="1" applyBorder="1" applyAlignment="1">
      <alignment vertical="top" wrapText="1"/>
    </xf>
    <xf numFmtId="0" fontId="17" fillId="0" borderId="40" xfId="2" applyFont="1" applyFill="1" applyBorder="1" applyAlignment="1">
      <alignment vertical="top" wrapText="1"/>
    </xf>
    <xf numFmtId="14" fontId="14" fillId="0" borderId="22" xfId="0" applyNumberFormat="1" applyFont="1" applyBorder="1" applyAlignment="1">
      <alignment horizontal="center" vertical="center"/>
    </xf>
    <xf numFmtId="0" fontId="27" fillId="0" borderId="22" xfId="0" applyFont="1" applyBorder="1" applyAlignment="1">
      <alignment horizontal="center" vertical="center"/>
    </xf>
    <xf numFmtId="0" fontId="28" fillId="0" borderId="22" xfId="0" applyFont="1" applyBorder="1" applyAlignment="1">
      <alignment vertical="top" wrapText="1"/>
    </xf>
    <xf numFmtId="0" fontId="28" fillId="0" borderId="41" xfId="0" applyFont="1" applyBorder="1" applyAlignment="1">
      <alignment vertical="top" wrapText="1"/>
    </xf>
    <xf numFmtId="0" fontId="28" fillId="2" borderId="0" xfId="0" applyFont="1" applyFill="1" applyAlignment="1">
      <alignment vertical="top" wrapText="1"/>
    </xf>
    <xf numFmtId="0" fontId="16" fillId="0" borderId="3" xfId="0" applyFont="1" applyBorder="1" applyAlignment="1">
      <alignment vertical="top" wrapText="1"/>
    </xf>
    <xf numFmtId="0" fontId="18" fillId="0" borderId="0" xfId="0" applyFont="1" applyAlignment="1">
      <alignment vertical="top" wrapText="1"/>
    </xf>
    <xf numFmtId="0" fontId="18" fillId="0" borderId="0" xfId="0" applyFont="1" applyAlignment="1">
      <alignment horizontal="center" vertical="top" wrapText="1"/>
    </xf>
    <xf numFmtId="0" fontId="16" fillId="0" borderId="22" xfId="0" applyFont="1" applyBorder="1" applyAlignment="1">
      <alignment horizontal="center" vertical="center"/>
    </xf>
    <xf numFmtId="0" fontId="16" fillId="0" borderId="22" xfId="3" applyFont="1" applyFill="1" applyBorder="1" applyAlignment="1">
      <alignment horizontal="left" vertical="top" wrapText="1"/>
    </xf>
    <xf numFmtId="14" fontId="16" fillId="0" borderId="22" xfId="0" applyNumberFormat="1" applyFont="1" applyBorder="1" applyAlignment="1">
      <alignment horizontal="left" vertical="top" wrapText="1"/>
    </xf>
    <xf numFmtId="14" fontId="14" fillId="0" borderId="22" xfId="0" applyNumberFormat="1" applyFont="1" applyBorder="1" applyAlignment="1">
      <alignment horizontal="left" vertical="top" wrapText="1"/>
    </xf>
    <xf numFmtId="14" fontId="18" fillId="0" borderId="22" xfId="0" applyNumberFormat="1" applyFont="1" applyBorder="1" applyAlignment="1">
      <alignment horizontal="left" vertical="top" wrapText="1"/>
    </xf>
    <xf numFmtId="0" fontId="17" fillId="0" borderId="22" xfId="0" applyFont="1" applyBorder="1" applyAlignment="1">
      <alignment horizontal="left" vertical="top" wrapText="1" readingOrder="2"/>
    </xf>
    <xf numFmtId="14" fontId="17" fillId="0" borderId="22" xfId="0" applyNumberFormat="1" applyFont="1" applyBorder="1" applyAlignment="1">
      <alignment horizontal="left" vertical="top" wrapText="1"/>
    </xf>
    <xf numFmtId="0" fontId="18" fillId="0" borderId="0" xfId="0" applyFont="1"/>
    <xf numFmtId="0" fontId="14" fillId="0" borderId="0" xfId="0" applyFont="1" applyAlignment="1">
      <alignment horizontal="left"/>
    </xf>
    <xf numFmtId="0" fontId="14" fillId="0" borderId="0" xfId="0" applyFont="1" applyAlignment="1">
      <alignment wrapText="1"/>
    </xf>
    <xf numFmtId="0" fontId="17" fillId="0" borderId="0" xfId="0" applyFont="1" applyAlignment="1">
      <alignment horizontal="center" vertical="center"/>
    </xf>
    <xf numFmtId="0" fontId="14" fillId="2" borderId="0" xfId="0" applyFont="1" applyFill="1"/>
    <xf numFmtId="0" fontId="14" fillId="2" borderId="0" xfId="0" applyFont="1" applyFill="1" applyAlignment="1">
      <alignment horizontal="left"/>
    </xf>
    <xf numFmtId="0" fontId="14" fillId="2" borderId="0" xfId="0" applyFont="1" applyFill="1" applyAlignment="1">
      <alignment wrapText="1"/>
    </xf>
    <xf numFmtId="0" fontId="17" fillId="2" borderId="0" xfId="0" applyFont="1" applyFill="1" applyAlignment="1">
      <alignment horizontal="center" vertical="center"/>
    </xf>
    <xf numFmtId="0" fontId="17" fillId="0" borderId="40" xfId="0" applyFont="1" applyBorder="1" applyAlignment="1">
      <alignment vertical="top"/>
    </xf>
    <xf numFmtId="0" fontId="16" fillId="0" borderId="22" xfId="0" applyFont="1" applyBorder="1" applyAlignment="1">
      <alignment vertical="top"/>
    </xf>
    <xf numFmtId="0" fontId="18" fillId="0" borderId="22" xfId="0" applyFont="1" applyBorder="1" applyAlignment="1" applyProtection="1">
      <alignment horizontal="center" vertical="center"/>
      <protection locked="0"/>
    </xf>
    <xf numFmtId="0" fontId="17" fillId="0" borderId="22" xfId="0" quotePrefix="1" applyFont="1" applyBorder="1" applyAlignment="1">
      <alignment horizontal="center" vertical="center"/>
    </xf>
    <xf numFmtId="0" fontId="14" fillId="0" borderId="41" xfId="0" applyFont="1" applyBorder="1"/>
    <xf numFmtId="0" fontId="16" fillId="0" borderId="40" xfId="0" applyFont="1" applyBorder="1" applyAlignment="1">
      <alignment vertical="top"/>
    </xf>
    <xf numFmtId="0" fontId="29" fillId="0" borderId="40" xfId="0" applyFont="1" applyBorder="1" applyAlignment="1">
      <alignment vertical="top"/>
    </xf>
    <xf numFmtId="0" fontId="29" fillId="0" borderId="22" xfId="0" applyFont="1" applyBorder="1" applyAlignment="1">
      <alignment vertical="top"/>
    </xf>
    <xf numFmtId="0" fontId="29" fillId="0" borderId="22" xfId="0" applyFont="1" applyBorder="1" applyAlignment="1">
      <alignment vertical="top" wrapText="1"/>
    </xf>
    <xf numFmtId="0" fontId="30" fillId="0" borderId="22" xfId="0" applyFont="1" applyBorder="1" applyAlignment="1">
      <alignment horizontal="center" vertical="center"/>
    </xf>
    <xf numFmtId="0" fontId="24" fillId="0" borderId="22" xfId="0" quotePrefix="1" applyFont="1" applyBorder="1" applyAlignment="1">
      <alignment horizontal="center" vertical="center"/>
    </xf>
    <xf numFmtId="0" fontId="31" fillId="0" borderId="40" xfId="0" applyFont="1" applyBorder="1" applyAlignment="1">
      <alignment vertical="top"/>
    </xf>
    <xf numFmtId="0" fontId="31" fillId="0" borderId="22" xfId="0" applyFont="1" applyBorder="1" applyAlignment="1">
      <alignment vertical="top"/>
    </xf>
    <xf numFmtId="0" fontId="31" fillId="0" borderId="22" xfId="0" applyFont="1" applyBorder="1" applyAlignment="1">
      <alignment vertical="top" wrapText="1"/>
    </xf>
    <xf numFmtId="0" fontId="19" fillId="0" borderId="22" xfId="0" quotePrefix="1" applyFont="1" applyBorder="1" applyAlignment="1">
      <alignment horizontal="center" vertical="center"/>
    </xf>
    <xf numFmtId="0" fontId="19" fillId="0" borderId="22" xfId="0" applyFont="1" applyBorder="1" applyAlignment="1">
      <alignment horizontal="center" vertical="center"/>
    </xf>
    <xf numFmtId="0" fontId="17" fillId="0" borderId="22" xfId="0" quotePrefix="1" applyFont="1" applyBorder="1" applyAlignment="1">
      <alignment horizontal="center" vertical="center" wrapText="1"/>
    </xf>
    <xf numFmtId="0" fontId="16" fillId="0" borderId="22" xfId="0" quotePrefix="1" applyFont="1" applyBorder="1" applyAlignment="1">
      <alignment vertical="top" wrapText="1"/>
    </xf>
    <xf numFmtId="0" fontId="18" fillId="0" borderId="22" xfId="0" quotePrefix="1" applyFont="1" applyBorder="1" applyAlignment="1">
      <alignment horizontal="center" vertical="center" wrapText="1"/>
    </xf>
    <xf numFmtId="0" fontId="14" fillId="0" borderId="23" xfId="0" applyFont="1" applyBorder="1" applyAlignment="1">
      <alignment horizontal="center" vertical="center"/>
    </xf>
    <xf numFmtId="0" fontId="14" fillId="0" borderId="23" xfId="0" applyFont="1" applyBorder="1"/>
    <xf numFmtId="0" fontId="14" fillId="0" borderId="1" xfId="0" applyFont="1" applyBorder="1"/>
    <xf numFmtId="49" fontId="16" fillId="14" borderId="24" xfId="0" quotePrefix="1" applyNumberFormat="1" applyFont="1" applyFill="1" applyBorder="1" applyAlignment="1">
      <alignment horizontal="center" vertical="center" wrapText="1"/>
    </xf>
    <xf numFmtId="49" fontId="17" fillId="0" borderId="22" xfId="0" applyNumberFormat="1" applyFont="1" applyBorder="1" applyAlignment="1">
      <alignment horizontal="center" vertical="center" wrapText="1"/>
    </xf>
    <xf numFmtId="2" fontId="0" fillId="0" borderId="0" xfId="0" applyNumberFormat="1"/>
    <xf numFmtId="0" fontId="26" fillId="0" borderId="22" xfId="0" applyFont="1" applyBorder="1" applyAlignment="1">
      <alignment horizontal="left" vertical="top" wrapText="1"/>
    </xf>
    <xf numFmtId="0" fontId="26" fillId="0" borderId="23" xfId="0" applyFont="1" applyBorder="1" applyAlignment="1">
      <alignment horizontal="left" vertical="top" wrapText="1"/>
    </xf>
    <xf numFmtId="0" fontId="26" fillId="0" borderId="7" xfId="0" applyFont="1" applyBorder="1" applyAlignment="1">
      <alignment horizontal="left" vertical="top" wrapText="1"/>
    </xf>
    <xf numFmtId="0" fontId="26" fillId="0" borderId="0" xfId="0" applyFont="1" applyAlignment="1">
      <alignment horizontal="left" vertical="top" wrapText="1"/>
    </xf>
    <xf numFmtId="0" fontId="0" fillId="0" borderId="40" xfId="0" applyBorder="1"/>
    <xf numFmtId="14" fontId="0" fillId="0" borderId="2" xfId="0" applyNumberFormat="1" applyBorder="1"/>
    <xf numFmtId="0" fontId="0" fillId="0" borderId="41" xfId="0" applyBorder="1"/>
    <xf numFmtId="14" fontId="0" fillId="0" borderId="41" xfId="0" applyNumberFormat="1" applyBorder="1"/>
    <xf numFmtId="0" fontId="11" fillId="2" borderId="22" xfId="0" applyFont="1" applyFill="1" applyBorder="1" applyAlignment="1">
      <alignment horizontal="left" vertical="top" wrapText="1"/>
    </xf>
    <xf numFmtId="0" fontId="11" fillId="2" borderId="8" xfId="0" applyFont="1" applyFill="1" applyBorder="1" applyAlignment="1">
      <alignment horizontal="left" vertical="top" wrapText="1"/>
    </xf>
    <xf numFmtId="0" fontId="11" fillId="2" borderId="0" xfId="0" applyFont="1" applyFill="1" applyAlignment="1">
      <alignment horizontal="left" vertical="top" wrapText="1"/>
    </xf>
    <xf numFmtId="0" fontId="13" fillId="0" borderId="37"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0" xfId="0" applyFont="1" applyAlignment="1">
      <alignment horizontal="center" vertical="center" wrapText="1"/>
    </xf>
    <xf numFmtId="0" fontId="13" fillId="0" borderId="39" xfId="0" applyFont="1" applyBorder="1" applyAlignment="1">
      <alignment horizontal="center" vertical="center" wrapText="1"/>
    </xf>
    <xf numFmtId="14" fontId="0" fillId="0" borderId="22" xfId="0" applyNumberFormat="1" applyBorder="1" applyAlignment="1">
      <alignment horizontal="center" vertical="center"/>
    </xf>
    <xf numFmtId="14" fontId="0" fillId="0" borderId="23" xfId="0" applyNumberFormat="1" applyBorder="1" applyAlignment="1">
      <alignment horizontal="right" vertical="top"/>
    </xf>
    <xf numFmtId="14" fontId="0" fillId="0" borderId="24" xfId="0" applyNumberFormat="1" applyBorder="1" applyAlignment="1">
      <alignment horizontal="right" vertical="top"/>
    </xf>
    <xf numFmtId="14" fontId="0" fillId="0" borderId="23" xfId="0" applyNumberFormat="1" applyBorder="1" applyAlignment="1">
      <alignment horizontal="left" vertical="top"/>
    </xf>
    <xf numFmtId="14" fontId="0" fillId="0" borderId="24" xfId="0" applyNumberFormat="1" applyBorder="1" applyAlignment="1">
      <alignment horizontal="left" vertical="top"/>
    </xf>
    <xf numFmtId="0" fontId="0" fillId="0" borderId="23" xfId="0" applyBorder="1" applyAlignment="1">
      <alignment horizontal="center"/>
    </xf>
    <xf numFmtId="0" fontId="0" fillId="0" borderId="24" xfId="0" applyBorder="1" applyAlignment="1">
      <alignment horizontal="center"/>
    </xf>
    <xf numFmtId="0" fontId="0" fillId="0" borderId="23" xfId="0" applyBorder="1" applyAlignment="1">
      <alignment horizontal="left" vertical="top"/>
    </xf>
    <xf numFmtId="0" fontId="0" fillId="0" borderId="35" xfId="0" applyBorder="1" applyAlignment="1">
      <alignment horizontal="left" vertical="top"/>
    </xf>
    <xf numFmtId="0" fontId="0" fillId="0" borderId="24" xfId="0" applyBorder="1" applyAlignment="1">
      <alignment horizontal="left" vertical="top"/>
    </xf>
    <xf numFmtId="14" fontId="0" fillId="0" borderId="35" xfId="0" applyNumberFormat="1" applyBorder="1" applyAlignment="1">
      <alignment horizontal="right" vertical="top"/>
    </xf>
    <xf numFmtId="0" fontId="0" fillId="0" borderId="0" xfId="0" applyAlignment="1">
      <alignment horizontal="left" vertical="top" wrapText="1"/>
    </xf>
    <xf numFmtId="0" fontId="1" fillId="0" borderId="0" xfId="0" applyFont="1" applyAlignment="1">
      <alignment horizontal="left" vertical="top" wrapText="1"/>
    </xf>
    <xf numFmtId="0" fontId="13" fillId="0" borderId="22" xfId="0" applyFont="1" applyBorder="1" applyAlignment="1">
      <alignment horizontal="center" vertical="center" wrapText="1"/>
    </xf>
    <xf numFmtId="0" fontId="13" fillId="0" borderId="41" xfId="0" applyFont="1" applyBorder="1" applyAlignment="1">
      <alignment horizontal="center" vertical="center" wrapText="1"/>
    </xf>
    <xf numFmtId="0" fontId="2" fillId="3" borderId="16" xfId="0" applyFont="1" applyFill="1" applyBorder="1" applyAlignment="1">
      <alignment vertical="top" wrapText="1"/>
    </xf>
    <xf numFmtId="0" fontId="3" fillId="3" borderId="15" xfId="0" applyFont="1" applyFill="1" applyBorder="1" applyAlignment="1">
      <alignment vertical="top" wrapText="1"/>
    </xf>
    <xf numFmtId="0" fontId="2" fillId="3" borderId="15" xfId="0" applyFont="1" applyFill="1" applyBorder="1" applyAlignment="1">
      <alignment vertical="top" wrapText="1"/>
    </xf>
    <xf numFmtId="0" fontId="2" fillId="3" borderId="15" xfId="0" applyFont="1" applyFill="1" applyBorder="1" applyAlignment="1">
      <alignment horizontal="left" vertical="top" wrapText="1"/>
    </xf>
    <xf numFmtId="0" fontId="3" fillId="3" borderId="15" xfId="0" applyFont="1" applyFill="1" applyBorder="1" applyAlignment="1">
      <alignment horizontal="left" vertical="top" wrapText="1"/>
    </xf>
    <xf numFmtId="0" fontId="2" fillId="3" borderId="17" xfId="0" applyFont="1" applyFill="1" applyBorder="1" applyAlignment="1">
      <alignment horizontal="left" vertical="top" wrapText="1"/>
    </xf>
    <xf numFmtId="0" fontId="2" fillId="3" borderId="20" xfId="0" applyFont="1" applyFill="1" applyBorder="1" applyAlignment="1">
      <alignment horizontal="left" vertical="top" wrapText="1"/>
    </xf>
    <xf numFmtId="0" fontId="3" fillId="3" borderId="17" xfId="0" applyFont="1" applyFill="1" applyBorder="1" applyAlignment="1">
      <alignment horizontal="left" vertical="top" wrapText="1"/>
    </xf>
    <xf numFmtId="0" fontId="3" fillId="3" borderId="20" xfId="0" applyFont="1" applyFill="1" applyBorder="1" applyAlignment="1">
      <alignment horizontal="left" vertical="top" wrapText="1"/>
    </xf>
    <xf numFmtId="0" fontId="2" fillId="3" borderId="16" xfId="0" applyFont="1" applyFill="1" applyBorder="1" applyAlignment="1">
      <alignment horizontal="left" vertical="top" wrapText="1"/>
    </xf>
    <xf numFmtId="0" fontId="3" fillId="3" borderId="0" xfId="0" applyFont="1" applyFill="1" applyAlignment="1">
      <alignment horizontal="left" vertical="top"/>
    </xf>
    <xf numFmtId="0" fontId="3" fillId="3" borderId="15" xfId="3" applyFont="1" applyFill="1" applyBorder="1" applyAlignment="1">
      <alignment horizontal="left" vertical="top" wrapText="1"/>
    </xf>
    <xf numFmtId="0" fontId="8" fillId="3" borderId="18" xfId="0" applyFont="1" applyFill="1" applyBorder="1" applyAlignment="1">
      <alignment vertical="top" wrapText="1"/>
    </xf>
    <xf numFmtId="0" fontId="8" fillId="3" borderId="25" xfId="0" applyFont="1" applyFill="1" applyBorder="1" applyAlignment="1">
      <alignment vertical="top" wrapText="1"/>
    </xf>
    <xf numFmtId="0" fontId="8" fillId="3" borderId="17" xfId="0" applyFont="1" applyFill="1" applyBorder="1" applyAlignment="1">
      <alignment vertical="top" wrapText="1"/>
    </xf>
    <xf numFmtId="0" fontId="8" fillId="3" borderId="19" xfId="0" applyFont="1" applyFill="1" applyBorder="1" applyAlignment="1">
      <alignment vertical="top" wrapText="1"/>
    </xf>
    <xf numFmtId="0" fontId="2" fillId="3" borderId="18" xfId="0" applyFont="1" applyFill="1" applyBorder="1" applyAlignment="1">
      <alignment horizontal="left" vertical="top" wrapText="1"/>
    </xf>
    <xf numFmtId="0" fontId="2" fillId="3" borderId="26" xfId="0" applyFont="1" applyFill="1" applyBorder="1" applyAlignment="1">
      <alignment horizontal="left" vertical="top" wrapText="1"/>
    </xf>
    <xf numFmtId="0" fontId="2" fillId="3" borderId="18" xfId="0" applyFont="1" applyFill="1" applyBorder="1" applyAlignment="1">
      <alignment vertical="top" wrapText="1"/>
    </xf>
    <xf numFmtId="0" fontId="2" fillId="3" borderId="25" xfId="0" applyFont="1" applyFill="1" applyBorder="1" applyAlignment="1">
      <alignment vertical="top" wrapText="1"/>
    </xf>
    <xf numFmtId="0" fontId="3" fillId="3" borderId="34" xfId="0" applyFont="1" applyFill="1" applyBorder="1" applyAlignment="1">
      <alignment vertical="top" wrapText="1"/>
    </xf>
    <xf numFmtId="0" fontId="3" fillId="3" borderId="29" xfId="0" applyFont="1" applyFill="1" applyBorder="1" applyAlignment="1">
      <alignment vertical="top" wrapText="1"/>
    </xf>
    <xf numFmtId="0" fontId="2" fillId="3" borderId="12" xfId="0" applyFont="1" applyFill="1" applyBorder="1" applyAlignment="1">
      <alignment vertical="top" wrapText="1"/>
    </xf>
    <xf numFmtId="0" fontId="2" fillId="3" borderId="14" xfId="0" applyFont="1" applyFill="1" applyBorder="1" applyAlignment="1">
      <alignment vertical="top" wrapText="1"/>
    </xf>
    <xf numFmtId="0" fontId="2" fillId="3" borderId="21" xfId="0" applyFont="1" applyFill="1" applyBorder="1" applyAlignment="1">
      <alignment vertical="top" wrapText="1"/>
    </xf>
    <xf numFmtId="0" fontId="2" fillId="3" borderId="11" xfId="0" applyFont="1" applyFill="1" applyBorder="1" applyAlignment="1">
      <alignment vertical="top" wrapText="1"/>
    </xf>
    <xf numFmtId="0" fontId="2" fillId="3" borderId="13" xfId="0" applyFont="1" applyFill="1" applyBorder="1" applyAlignment="1">
      <alignment vertical="top" wrapText="1"/>
    </xf>
    <xf numFmtId="0" fontId="2" fillId="3" borderId="26" xfId="0" applyFont="1" applyFill="1" applyBorder="1" applyAlignment="1">
      <alignment vertical="top" wrapText="1"/>
    </xf>
    <xf numFmtId="0" fontId="3" fillId="3" borderId="31" xfId="0" applyFont="1" applyFill="1" applyBorder="1" applyAlignment="1">
      <alignment vertical="top" wrapText="1"/>
    </xf>
    <xf numFmtId="0" fontId="2" fillId="3" borderId="32" xfId="0" applyFont="1" applyFill="1" applyBorder="1" applyAlignment="1">
      <alignment vertical="top" wrapText="1"/>
    </xf>
    <xf numFmtId="0" fontId="2" fillId="3" borderId="33" xfId="0" applyFont="1" applyFill="1" applyBorder="1" applyAlignment="1">
      <alignment vertical="top" wrapText="1"/>
    </xf>
    <xf numFmtId="0" fontId="3" fillId="3" borderId="28" xfId="0" applyFont="1" applyFill="1" applyBorder="1" applyAlignment="1">
      <alignment vertical="top" wrapText="1"/>
    </xf>
    <xf numFmtId="0" fontId="3" fillId="3" borderId="30" xfId="0" applyFont="1" applyFill="1" applyBorder="1" applyAlignment="1">
      <alignment vertical="top" wrapText="1"/>
    </xf>
    <xf numFmtId="0" fontId="2" fillId="3" borderId="10" xfId="0" applyFont="1" applyFill="1" applyBorder="1" applyAlignment="1">
      <alignment vertical="top" wrapText="1"/>
    </xf>
    <xf numFmtId="0" fontId="3" fillId="3" borderId="12" xfId="0" applyFont="1" applyFill="1" applyBorder="1" applyAlignment="1">
      <alignment vertical="top" wrapText="1"/>
    </xf>
    <xf numFmtId="0" fontId="3" fillId="3" borderId="14" xfId="0" applyFont="1" applyFill="1" applyBorder="1" applyAlignment="1">
      <alignment vertical="top" wrapText="1"/>
    </xf>
  </cellXfs>
  <cellStyles count="5">
    <cellStyle name="Bad" xfId="2" builtinId="27"/>
    <cellStyle name="Good" xfId="1" builtinId="26"/>
    <cellStyle name="Hyperlink" xfId="4" builtinId="8"/>
    <cellStyle name="Neutral" xfId="3" builtinId="28"/>
    <cellStyle name="Normal" xfId="0" builtinId="0"/>
  </cellStyles>
  <dxfs count="305">
    <dxf>
      <font>
        <outline val="0"/>
        <shadow val="0"/>
        <vertAlign val="baseline"/>
        <name val="Segoe UI"/>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Segoe UI"/>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outline val="0"/>
        <shadow val="0"/>
        <vertAlign val="baseline"/>
        <name val="Segoe U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Segoe UI"/>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outline val="0"/>
        <shadow val="0"/>
        <vertAlign val="baseline"/>
        <name val="Segoe UI"/>
        <family val="2"/>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strike val="0"/>
        <outline val="0"/>
        <shadow val="0"/>
        <u val="none"/>
        <vertAlign val="baseline"/>
        <name val="Segoe UI"/>
        <family val="2"/>
        <scheme val="none"/>
      </font>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strike val="0"/>
        <outline val="0"/>
        <shadow val="0"/>
        <u val="none"/>
        <vertAlign val="baseline"/>
        <name val="Segoe UI"/>
        <family val="2"/>
        <scheme val="none"/>
      </font>
      <fill>
        <patternFill patternType="none">
          <fgColor indexed="64"/>
          <bgColor auto="1"/>
        </patternFill>
      </fill>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strike val="0"/>
        <outline val="0"/>
        <shadow val="0"/>
        <u val="none"/>
        <vertAlign val="baseline"/>
        <name val="Segoe UI"/>
        <family val="2"/>
        <scheme val="none"/>
      </font>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strike val="0"/>
        <outline val="0"/>
        <shadow val="0"/>
        <u val="none"/>
        <vertAlign val="baseline"/>
        <name val="Segoe UI"/>
        <family val="2"/>
        <scheme val="none"/>
      </font>
      <fill>
        <patternFill patternType="none">
          <fgColor indexed="64"/>
          <bgColor auto="1"/>
        </patternFill>
      </fill>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top style="thin">
          <color auto="1"/>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border outline="0">
        <right style="thin">
          <color indexed="64"/>
        </right>
        <bottom style="thin">
          <color indexed="64"/>
        </bottom>
      </border>
    </dxf>
    <dxf>
      <font>
        <strike val="0"/>
        <outline val="0"/>
        <shadow val="0"/>
        <u val="none"/>
        <vertAlign val="baseline"/>
        <name val="Segoe UI"/>
        <family val="2"/>
        <scheme val="none"/>
      </font>
      <fill>
        <patternFill patternType="none">
          <fgColor indexed="64"/>
          <bgColor auto="1"/>
        </patternFill>
      </fill>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dxf>
    <dxf>
      <font>
        <outline val="0"/>
        <shadow val="0"/>
        <u val="none"/>
        <vertAlign val="baseline"/>
        <name val="Segoe UI"/>
        <family val="2"/>
        <scheme val="none"/>
      </font>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left style="thin">
          <color indexed="64"/>
        </left>
        <right style="thin">
          <color indexed="64"/>
        </right>
        <bottom style="thin">
          <color indexed="64"/>
        </bottom>
      </border>
    </dxf>
    <dxf>
      <font>
        <outline val="0"/>
        <shadow val="0"/>
        <u val="none"/>
        <vertAlign val="baseline"/>
        <name val="Segoe UI"/>
        <family val="2"/>
        <scheme val="none"/>
      </font>
    </dxf>
    <dxf>
      <border outline="0">
        <bottom style="thin">
          <color indexed="64"/>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outline val="0"/>
        <shadow val="0"/>
        <vertAlign val="baseline"/>
        <sz val="11"/>
        <color auto="1"/>
        <name val="Segoe UI"/>
        <family val="2"/>
        <scheme val="none"/>
      </font>
      <fill>
        <patternFill patternType="none">
          <fgColor indexed="64"/>
          <bgColor auto="1"/>
        </patternFill>
      </fill>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outline val="0"/>
        <shadow val="0"/>
        <vertAlign val="baseline"/>
        <sz val="11"/>
        <color auto="1"/>
        <name val="Segoe UI"/>
        <family val="2"/>
        <scheme val="none"/>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Segoe UI"/>
        <family val="2"/>
        <scheme val="none"/>
      </font>
      <fill>
        <patternFill patternType="solid">
          <fgColor indexed="64"/>
          <bgColor theme="9"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outline val="0"/>
        <shadow val="0"/>
        <u val="none"/>
        <vertAlign val="baseline"/>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outline val="0"/>
        <shadow val="0"/>
        <u val="none"/>
        <vertAlign val="baseline"/>
        <name val="Segoe UI"/>
        <family val="2"/>
        <scheme val="none"/>
      </font>
      <fill>
        <patternFill patternType="none">
          <fgColor indexed="64"/>
          <bgColor auto="1"/>
        </patternFill>
      </fill>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outline val="0"/>
        <shadow val="0"/>
        <vertAlign val="baseline"/>
        <name val="Segoe UI"/>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border diagonalUp="0" diagonalDown="0" outline="0">
        <left style="thin">
          <color indexed="64"/>
        </left>
        <right style="thin">
          <color indexed="64"/>
        </right>
        <top style="thin">
          <color indexed="64"/>
        </top>
        <bottom style="thin">
          <color indexed="64"/>
        </bottom>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Segoe UI"/>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Segoe UI"/>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outline val="0"/>
        <shadow val="0"/>
        <vertAlign val="baseline"/>
        <name val="Segoe UI"/>
        <family val="2"/>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dxf>
    <dxf>
      <numFmt numFmtId="2" formatCode="0.00"/>
    </dxf>
    <dxf>
      <numFmt numFmtId="0" formatCode="General"/>
    </dxf>
    <dxf>
      <font>
        <b val="0"/>
        <i val="0"/>
        <strike val="0"/>
        <condense val="0"/>
        <extend val="0"/>
        <outline val="0"/>
        <shadow val="0"/>
        <u val="none"/>
        <vertAlign val="baseline"/>
        <sz val="11"/>
        <color theme="1"/>
        <name val="Segoe UI"/>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top" textRotation="0" wrapText="1" indent="0" justifyLastLine="0" shrinkToFit="0" readingOrder="0"/>
    </dxf>
    <dxf>
      <fill>
        <patternFill patternType="none">
          <fgColor indexed="64"/>
          <bgColor auto="1"/>
        </patternFill>
      </fill>
      <border outline="0">
        <right style="thin">
          <color indexed="64"/>
        </right>
      </border>
    </dxf>
    <dxf>
      <fill>
        <patternFill patternType="none">
          <fgColor indexed="64"/>
          <bgColor auto="1"/>
        </patternFill>
      </fill>
    </dxf>
    <dxf>
      <border outline="0">
        <top style="thin">
          <color auto="1"/>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90894"/>
      <color rgb="FF6A9AE8"/>
      <color rgb="FFFFFF66"/>
      <color rgb="FF64EEEB"/>
      <color rgb="FFCFE270"/>
      <color rgb="FFA66BE7"/>
      <color rgb="FFECF2F8"/>
      <color rgb="FFFFC7CE"/>
      <color rgb="FFFECB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111125</xdr:rowOff>
    </xdr:from>
    <xdr:to>
      <xdr:col>10</xdr:col>
      <xdr:colOff>269805</xdr:colOff>
      <xdr:row>61</xdr:row>
      <xdr:rowOff>44450</xdr:rowOff>
    </xdr:to>
    <xdr:pic>
      <xdr:nvPicPr>
        <xdr:cNvPr id="2" name="Grafik 1" descr="Bildschirmausschnitt">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635625"/>
          <a:ext cx="10518705" cy="5641975"/>
        </a:xfrm>
        <a:prstGeom prst="rect">
          <a:avLst/>
        </a:prstGeom>
        <a:effectLst>
          <a:outerShdw blurRad="50800" dist="38100" dir="2700000" algn="tl" rotWithShape="0">
            <a:prstClr val="black">
              <a:alpha val="40000"/>
            </a:prstClr>
          </a:outerShdw>
        </a:effec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EB3873-F6A4-4346-983C-DB49BA86ABE3}" name="Tabelle2" displayName="Tabelle2" ref="A1:D12" totalsRowCount="1">
  <autoFilter ref="A1:D11" xr:uid="{A4EB3873-F6A4-4346-983C-DB49BA86ABE3}"/>
  <tableColumns count="4">
    <tableColumn id="1" xr3:uid="{5FCCBDC5-7782-4CF0-9BA1-2E03418052DD}" name="Tablename" totalsRowLabel="Summe"/>
    <tableColumn id="2" xr3:uid="{8FAF3CDE-3B2A-4721-816D-CDD605E62069}" name="#Checkpoint" totalsRowFunction="sum">
      <calculatedColumnFormula>COUNTIF(INDIRECT("'" &amp; A2 &amp; "'!A" &amp;(MATCH("Checkpoint",INDIRECT("'" &amp; A2 &amp; "'!A:A"),0)+1)&amp; ":A1000"),"?*")</calculatedColumnFormula>
    </tableColumn>
    <tableColumn id="3" xr3:uid="{663687F7-2B10-43FA-8AD7-26CBA81D354E}" name="#TA Completed" totalsRowFunction="sum" dataDxfId="278">
      <calculatedColumnFormula>COUNTIF(INDIRECT("'" &amp; A2 &amp; "'!G:G"),"*Completed*")</calculatedColumnFormula>
    </tableColumn>
    <tableColumn id="4" xr3:uid="{E4FFA0CD-EE89-4AD7-BBED-1A4FC235D759}" name="Automatisierungsgrad" totalsRowFunction="custom" dataDxfId="277" totalsRowDxfId="276">
      <calculatedColumnFormula>C2/B2</calculatedColumnFormula>
      <totalsRowFormula>Tabelle2[[#Totals],['#TA Completed]]/Tabelle2[[#Totals],['#Checkpoint]]</totalsRow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652DA5-00E7-4302-BDAC-C09AA3992493}" name="T_Homepage" displayName="T_Homepage" ref="A3:U54" totalsRowShown="0" headerRowDxfId="275" dataDxfId="273" headerRowBorderDxfId="274" tableBorderDxfId="272" totalsRowBorderDxfId="271">
  <autoFilter ref="A3:U54" xr:uid="{2D652DA5-00E7-4302-BDAC-C09AA3992493}"/>
  <tableColumns count="21">
    <tableColumn id="1" xr3:uid="{22844DBF-83DC-4C32-A32E-6AFE77E73C28}" name="Checkpoint" dataDxfId="270"/>
    <tableColumn id="2" xr3:uid="{1BAD5370-28C5-4851-933A-F8B7F9A34A3B}" name="Template" dataDxfId="269"/>
    <tableColumn id="3" xr3:uid="{926F91D1-C999-4A4D-969D-48CCF2C852D2}" name="Section" dataDxfId="268"/>
    <tableColumn id="4" xr3:uid="{0B9F49D1-679F-4F4B-BC9F-021907AC201A}" name="Test goal (expected result)" dataDxfId="267"/>
    <tableColumn id="5" xr3:uid="{061B246C-7AA1-47E5-8CB2-2191DFA636AD}" name="Section Items" dataDxfId="266"/>
    <tableColumn id="6" xr3:uid="{B405093D-9A59-4250-88AE-F7283F70F6E4}" name="TA" dataDxfId="265"/>
    <tableColumn id="7" xr3:uid="{739B7988-F341-4D2D-8ABA-E7758139CEA0}" name="TA Status" dataDxfId="264"/>
    <tableColumn id="8" xr3:uid="{A55384B7-EDB6-4EE3-B2EA-2BE60C663BB2}" name="Example" dataDxfId="263"/>
    <tableColumn id="9" xr3:uid="{084084CD-D748-452E-9D3D-03247EB45FA2}" name="URL Testcontent" dataDxfId="262"/>
    <tableColumn id="10" xr3:uid="{8BDCD86C-30F7-4A84-86F3-8D2DEE114207}" name="Who" dataDxfId="261"/>
    <tableColumn id="11" xr3:uid="{91CA871E-D0E6-428F-BFB2-2691D2294A33}" name="iPhone 16 iOs v. 26_x000a_ Safari/Mobile" dataDxfId="260"/>
    <tableColumn id="12" xr3:uid="{F65683D6-DE60-4C0D-AB63-12B647FA0286}" name="iPad iOs v. 26_x000a_Safari/Tablet" dataDxfId="259"/>
    <tableColumn id="13" xr3:uid="{FFC4D0D1-E3F3-4289-A926-29769532B040}" name="MacBook _x000a_Safari v. 12.1.2" dataDxfId="258"/>
    <tableColumn id="14" xr3:uid="{09B5B382-A2BA-4EF9-ACA4-2349152A834F}" name="Samsung Galaxy 8_x000a_Android v. IE v. 10.1.00.27_x000a_ Chrome/Mobile" dataDxfId="257"/>
    <tableColumn id="15" xr3:uid="{A1DC2E4C-8325-4A90-991D-93D4EED31A78}" name="Tablet _x000a_Android v. Chrome v. 77_x000a_ Chrome/Tablet" dataDxfId="256"/>
    <tableColumn id="16" xr3:uid="{A8C788E9-C1D8-4281-BFAA-6B1F3C3E54A5}" name="Samsung Galaxy 8_x000a_Android Chrome v. 77_x000a_ Chrome/Mobile" dataDxfId="255"/>
    <tableColumn id="17" xr3:uid="{3B57A544-6721-465E-B67F-78B5A0F34301}" name="Chrome v. 84_x000a_ Chrome/Desktop" dataDxfId="254"/>
    <tableColumn id="18" xr3:uid="{6E7E920F-4F98-488A-917D-DCC1747A555F}" name="Microsoft Edge v. 44_x000a_Chrome/ Desktop" dataDxfId="253"/>
    <tableColumn id="19" xr3:uid="{6D94B76E-C0F5-4025-BE58-F182E210B15F}" name="FireFox v. 68" dataDxfId="252"/>
    <tableColumn id="20" xr3:uid="{23763A81-8CB5-435A-A618-D82F9FC4B869}" name="New Jira Ticket" dataDxfId="251"/>
    <tableColumn id="21" xr3:uid="{5B5C851A-EAA4-4357-ABB5-623CF06469D7}" name="Existing Jira Ticket" dataDxfId="25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8E701B-45E2-410B-8FE7-26C91D80E45D}" name="Tabelle136" displayName="Tabelle136" ref="A3:U54" totalsRowShown="0" headerRowDxfId="249" dataDxfId="247" headerRowBorderDxfId="248" tableBorderDxfId="246" totalsRowBorderDxfId="245">
  <autoFilter ref="A3:U54" xr:uid="{2D652DA5-00E7-4302-BDAC-C09AA3992493}"/>
  <tableColumns count="21">
    <tableColumn id="1" xr3:uid="{2FE12A7E-2BA5-4740-9CB8-42CE7C851912}" name="Checkpoint" dataDxfId="244"/>
    <tableColumn id="2" xr3:uid="{2CF1C81D-86A7-4982-9B33-DE2C7468F902}" name="Template" dataDxfId="243"/>
    <tableColumn id="3" xr3:uid="{48AB41BA-6D4F-49D5-B0B5-AE17F26B9639}" name="Section" dataDxfId="242"/>
    <tableColumn id="4" xr3:uid="{1B4E52ED-67B6-4A5C-B549-97F91CA0DDB1}" name="Test goal (expected result)" dataDxfId="241"/>
    <tableColumn id="5" xr3:uid="{8F5880B5-B739-4C2D-991D-536D4EB97F4E}" name="Section Items" dataDxfId="240"/>
    <tableColumn id="6" xr3:uid="{3B1D8BC0-A2DC-45E5-8E8D-0DB439BAC519}" name="TA" dataDxfId="239"/>
    <tableColumn id="7" xr3:uid="{D7F14B41-E669-479D-9210-5162EB095AAD}" name="TA Status" dataDxfId="238"/>
    <tableColumn id="8" xr3:uid="{8102EE9A-892F-426F-8A48-4F77F0DEC672}" name="Example" dataDxfId="237"/>
    <tableColumn id="9" xr3:uid="{D0597198-D246-40C8-974E-1F47AFAF4AB5}" name="URL Testcontent" dataDxfId="236"/>
    <tableColumn id="10" xr3:uid="{1B29D4B1-75D3-4476-A79E-B0BF383A8DBD}" name="Who" dataDxfId="235"/>
    <tableColumn id="11" xr3:uid="{AC44B6F0-21F0-40CF-A50D-B797DF2BF94B}" name="iPhone 16 iOs v. 26_x000a_ Safari/Mobile" dataDxfId="234"/>
    <tableColumn id="12" xr3:uid="{53AE4CED-BA97-42D8-8F84-36032AD71B81}" name="iPad iOs v. 26_x000a_Safari/Tablet" dataDxfId="233"/>
    <tableColumn id="13" xr3:uid="{64DC23F9-839C-4556-94B2-2AC67633AACA}" name="MacBook _x000a_Safari v. 12.1.2" dataDxfId="232"/>
    <tableColumn id="14" xr3:uid="{E4348828-027E-4953-8352-65A991F73889}" name="Samsung Galaxy 8_x000a_Android v. IE v. 10.1.00.27_x000a_ Chrome/Mobile" dataDxfId="231"/>
    <tableColumn id="15" xr3:uid="{627B09AE-76A9-4B53-9F0C-2F43B584BB1B}" name="Tablet _x000a_Android v. Chrome v. 77_x000a_ Chrome/Tablet" dataDxfId="230"/>
    <tableColumn id="16" xr3:uid="{1076DF10-3556-424F-BF10-3F7BE2A53FAF}" name="Samsung Galaxy 8_x000a_Android Chrome v. 77_x000a_ Chrome/Mobile" dataDxfId="229"/>
    <tableColumn id="17" xr3:uid="{9C9EEAAD-7E6F-4CC5-BA7F-D8D0546EE041}" name="Chrome v. 84_x000a_ Chrome/Desktop" dataDxfId="228"/>
    <tableColumn id="18" xr3:uid="{B88A71A6-6C72-4036-843B-C3E10E82BF25}" name="Microsoft Edge v. 44_x000a_Chrome/ Desktop" dataDxfId="227"/>
    <tableColumn id="19" xr3:uid="{E92B946D-1642-4CBA-8F63-FEAD8C8606CD}" name="FireFox v. 68" dataDxfId="226"/>
    <tableColumn id="20" xr3:uid="{D8AA5E22-43EF-488A-A60A-4EE89D7BA6FA}" name="New Jira Ticket" dataDxfId="225"/>
    <tableColumn id="21" xr3:uid="{4778B935-A9A7-405A-9A61-B402E108E627}" name="Existing Jira Ticket" dataDxfId="224"/>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039E7B-20DD-4489-9A99-1EDACB8AA14F}" name="Tabelle134" displayName="Tabelle134" ref="A3:U78" totalsRowShown="0" headerRowDxfId="223" dataDxfId="221" headerRowBorderDxfId="222" tableBorderDxfId="220" totalsRowBorderDxfId="219">
  <autoFilter ref="A3:U78" xr:uid="{2D652DA5-00E7-4302-BDAC-C09AA3992493}"/>
  <tableColumns count="21">
    <tableColumn id="1" xr3:uid="{807E70C6-9F70-46D3-A8C1-EF2F89258F6A}" name="Checkpoint" dataDxfId="218"/>
    <tableColumn id="2" xr3:uid="{EA54713F-9566-4457-A631-5632D2C6443F}" name="Template" dataDxfId="217"/>
    <tableColumn id="3" xr3:uid="{25519FAF-E692-42A6-9C7B-BD4DC07FF302}" name="Section" dataDxfId="216"/>
    <tableColumn id="4" xr3:uid="{BC8C2080-02A4-4BFF-AC7C-670885019026}" name="Test goal (expected result)" dataDxfId="215"/>
    <tableColumn id="5" xr3:uid="{9DE73CF7-52EF-4DE9-A0B3-CA5510110379}" name="Section Items" dataDxfId="214"/>
    <tableColumn id="6" xr3:uid="{4FFF3957-10A2-4507-9BB9-C323606F94B0}" name="TA" dataDxfId="213"/>
    <tableColumn id="7" xr3:uid="{69455936-4C33-4FA6-9AF7-4B185FBAF232}" name="TA Status" dataDxfId="212"/>
    <tableColumn id="8" xr3:uid="{21D91706-9FB6-4AA4-AAC5-871AAC947AEB}" name="Example" dataDxfId="211"/>
    <tableColumn id="9" xr3:uid="{8151D4A3-61B2-4308-A936-C86086FF5138}" name="URL Testcontent" dataDxfId="210"/>
    <tableColumn id="10" xr3:uid="{ACAB39A0-0F27-41D5-B63A-6B1BDCB2EC01}" name="Who" dataDxfId="209"/>
    <tableColumn id="11" xr3:uid="{5CB7E2B7-22EC-4281-9361-352EEF67B57C}" name="iPhone 16 iOs v. 26_x000a_ Safari/Mobile" dataDxfId="208"/>
    <tableColumn id="12" xr3:uid="{8DCDF69A-5D30-4F84-BEF3-0D837B9DAD6F}" name="iPad iOs v. 26_x000a_Safari/Tablet" dataDxfId="207"/>
    <tableColumn id="13" xr3:uid="{834684DD-393F-4761-8A31-E17F6425ED97}" name="MacBook _x000a_Safari v. 12.1.2" dataDxfId="206"/>
    <tableColumn id="14" xr3:uid="{A5AEB44D-0560-471C-8536-4DE75A387EA1}" name="Samsung Galaxy 8_x000a_Android v. IE v. 10.1.00.27_x000a_ Chrome/Mobile" dataDxfId="205"/>
    <tableColumn id="15" xr3:uid="{21E2C2EC-8586-423F-98C5-BFE34B880AF2}" name="Tablet _x000a_Android v. Chrome v. 77_x000a_ Chrome/Tablet" dataDxfId="204"/>
    <tableColumn id="16" xr3:uid="{030C81A1-2D85-4C5F-8DCC-9F02A3A97FB6}" name="Samsung Galaxy 8_x000a_Android Chrome v. 77_x000a_ Chrome/Mobile" dataDxfId="203"/>
    <tableColumn id="17" xr3:uid="{E4EA0536-D65C-44F2-AD8F-07111C7E6F57}" name="Chrome v. 84_x000a_ Chrome/Desktop" dataDxfId="202"/>
    <tableColumn id="18" xr3:uid="{F5E42281-5613-46E4-AC5E-912DD6A536D9}" name="Microsoft Edge v. 44_x000a_Chrome/ Desktop" dataDxfId="201"/>
    <tableColumn id="19" xr3:uid="{7A681E03-126C-4DC8-902B-C436E61E587A}" name="FireFox v. 68" dataDxfId="200"/>
    <tableColumn id="20" xr3:uid="{F300DA18-EAD7-4AE9-BDCB-7CBED4C57B9B}" name="New Jira Ticket" dataDxfId="199"/>
    <tableColumn id="21" xr3:uid="{076D666A-8808-4D6E-9C11-5E1BE3E08818}" name="Existing Jira Ticket" dataDxfId="198"/>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6C9783-7E22-4E58-BEC0-80BDF3235C58}" name="Tabelle4" displayName="Tabelle4" ref="A3:U64" totalsRowShown="0" headerRowDxfId="197" dataDxfId="195" headerRowBorderDxfId="196" tableBorderDxfId="194" totalsRowBorderDxfId="193">
  <autoFilter ref="A3:U64" xr:uid="{736C9783-7E22-4E58-BEC0-80BDF3235C58}"/>
  <tableColumns count="21">
    <tableColumn id="1" xr3:uid="{F4D044C6-7B0D-459E-8980-D92E971786E8}" name="Checkpoint" dataDxfId="192"/>
    <tableColumn id="2" xr3:uid="{40753A84-D584-4D18-A9DB-297530499E67}" name="Template" dataDxfId="191"/>
    <tableColumn id="3" xr3:uid="{DCF3276E-D391-4FBD-B805-81353CA2027B}" name="Section" dataDxfId="190"/>
    <tableColumn id="4" xr3:uid="{5C540B06-03FF-45F5-B282-0F09B3E43060}" name="Test goal (expected result)" dataDxfId="189"/>
    <tableColumn id="5" xr3:uid="{9FC46158-2A24-4A72-AC3A-699924DDE652}" name="Section Items" dataDxfId="188"/>
    <tableColumn id="6" xr3:uid="{92E587BC-3C58-4609-957E-6B93F7A39235}" name="TA" dataDxfId="187"/>
    <tableColumn id="7" xr3:uid="{B65D62F7-07A2-43B7-81FA-9F96D27E75FA}" name="TA Status" dataDxfId="186"/>
    <tableColumn id="8" xr3:uid="{78C72649-DE30-45AA-8F0C-5FC3CAEF136F}" name="Example" dataDxfId="185"/>
    <tableColumn id="9" xr3:uid="{D44A3CC3-58DB-4E8B-A711-19BDDB376C4D}" name="URL Testcontent" dataDxfId="184"/>
    <tableColumn id="10" xr3:uid="{13DAC0BD-2845-4653-80D3-FA0072DA3E59}" name="Who" dataDxfId="183"/>
    <tableColumn id="11" xr3:uid="{DFCBD9DA-7057-494B-B928-41407F6D2FD4}" name="iPhone 16 iOs v. 26_x000a_ Safari/Mobile" dataDxfId="182"/>
    <tableColumn id="12" xr3:uid="{5487C51A-678E-4E87-A3EB-68327E0A606E}" name="iPad iOs v. 26_x000a_Safari/Tablet" dataDxfId="181"/>
    <tableColumn id="13" xr3:uid="{F6DF0E43-B7C9-49CE-8323-455CE70DDEDB}" name="MacBook _x000a_Safari v. 12.1.2" dataDxfId="180"/>
    <tableColumn id="14" xr3:uid="{1D49CCAF-1C00-49CC-9108-FA8BF267B2F0}" name="Samsung Galaxy 8_x000a_Android v. IE v. 10.1.00.27_x000a_ Chrome/Mobile" dataDxfId="179"/>
    <tableColumn id="15" xr3:uid="{AE290C1A-8940-4AAB-8552-5CF6E7C0236D}" name="Tablet _x000a_Android v. Chrome v. 77_x000a_ Chrome/Tablet" dataDxfId="178"/>
    <tableColumn id="16" xr3:uid="{E40A234D-31D1-44C0-9D2E-319F9141E839}" name="Samsung Galaxy 8_x000a_Android Chrome v. 77_x000a_ Chrome/Mobile" dataDxfId="177"/>
    <tableColumn id="17" xr3:uid="{9332F757-442A-4522-BD2F-C179E6376786}" name="Chrome v. 84_x000a_ Chrome/Desktop" dataDxfId="176"/>
    <tableColumn id="18" xr3:uid="{F4AD6F3D-24C1-480E-98BB-EAB8161CB0D2}" name="Microsoft Edge v. 44_x000a_Chrome/ Desktop" dataDxfId="175"/>
    <tableColumn id="19" xr3:uid="{C1B13D03-CF50-4F4F-A5E8-3CF9EE2CC6E5}" name="FireFox v. 68" dataDxfId="174"/>
    <tableColumn id="20" xr3:uid="{97DA690D-44FF-4A08-97D8-B06475F4EA60}" name="New Jira Ticket" dataDxfId="173"/>
    <tableColumn id="21" xr3:uid="{24A30029-09FA-489E-A9F9-E5758511F4CF}" name="Existing Jira Ticket" dataDxfId="172"/>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0B2D13-5DD8-4230-907A-203A19083FE6}" name="Tabelle6" displayName="Tabelle6" ref="A3:U4" totalsRowShown="0" headerRowDxfId="171" dataDxfId="170" tableBorderDxfId="169">
  <autoFilter ref="A3:U4" xr:uid="{880B2D13-5DD8-4230-907A-203A19083FE6}"/>
  <tableColumns count="21">
    <tableColumn id="1" xr3:uid="{33702724-452D-4DE4-84EC-C1AA16F8EA6E}" name="Checkpoint" dataDxfId="168"/>
    <tableColumn id="2" xr3:uid="{AAFE2BBA-DED4-4D13-ACB8-357CB8907105}" name="Template" dataDxfId="167"/>
    <tableColumn id="3" xr3:uid="{848AB5C3-DE95-41CC-99EF-826D7DA7D943}" name="Section" dataDxfId="166"/>
    <tableColumn id="4" xr3:uid="{702774FF-131C-43C0-8208-8768AB9C2504}" name="Test goal (expected result)" dataDxfId="165"/>
    <tableColumn id="5" xr3:uid="{5CA33A0C-C422-41CD-B881-9B07CA3E8FE5}" name="Section Items" dataDxfId="164"/>
    <tableColumn id="6" xr3:uid="{7B32E69C-0AD2-4063-8A06-7A7F8E01A632}" name="TA" dataDxfId="163"/>
    <tableColumn id="7" xr3:uid="{39984FD3-9B5A-427D-B3E7-A6D000C708FB}" name="TA Status" dataDxfId="162"/>
    <tableColumn id="8" xr3:uid="{3F7CD683-75A4-4F2E-A609-F2D2EF0116BF}" name="Example" dataDxfId="161"/>
    <tableColumn id="9" xr3:uid="{811D4218-439A-48A4-9A1D-FA32C29D3A94}" name="URL Testcontent" dataDxfId="160"/>
    <tableColumn id="10" xr3:uid="{CBAE992E-24BB-475C-AE4B-FAACEB791A36}" name="Who" dataDxfId="159"/>
    <tableColumn id="11" xr3:uid="{F8CC35E4-8BF0-4EEA-8336-4E5B1FDC41F6}" name="iPhone 16 iOs v. 26_x000a_ Safari/Mobile" dataDxfId="158"/>
    <tableColumn id="12" xr3:uid="{D98E80E9-02A9-4E44-A44A-A4C16256D3B9}" name="iPad iOs v. 26_x000a_Safari/Tablet" dataDxfId="157"/>
    <tableColumn id="13" xr3:uid="{639FE2E6-D7A2-4F7A-92E6-BA35CD95EBF7}" name="MacBook _x000a_Safari v. 12.1.2" dataDxfId="156"/>
    <tableColumn id="14" xr3:uid="{B38F3C0F-2ED5-4E4E-8C71-053C0DCD417E}" name="Samsung Galaxy 8_x000a_Android v. IE v. 10.1.00.27_x000a_ Chrome/Mobile" dataDxfId="155"/>
    <tableColumn id="15" xr3:uid="{B79FAF72-2C95-432D-B0A9-150F3E91AD0D}" name="Tablet _x000a_Android v. Chrome v. 77_x000a_ Chrome/Tablet" dataDxfId="154"/>
    <tableColumn id="16" xr3:uid="{EC6F1827-DF2B-4884-890A-C3BB57D35EAD}" name="Samsung Galaxy 8_x000a_Android Chrome v. 77_x000a_ Chrome/Mobile" dataDxfId="153"/>
    <tableColumn id="17" xr3:uid="{494D29EB-04EB-447B-A8A9-64AF841DE267}" name="Chrome v. 84_x000a_ Chrome/Desktop" dataDxfId="152"/>
    <tableColumn id="18" xr3:uid="{0127AE90-6127-48BD-82CA-588B5BD3AFE9}" name="Microsoft Edge v. 44_x000a_Chrome/ Desktop" dataDxfId="151"/>
    <tableColumn id="19" xr3:uid="{D26FCBD7-7133-4A98-B4B9-C5EF2C96AA4C}" name="FireFox v. 68" dataDxfId="150"/>
    <tableColumn id="20" xr3:uid="{D8815DBD-6FFB-48E9-B65E-AD306D56ABEB}" name="New Jira Ticket" dataDxfId="149"/>
    <tableColumn id="21" xr3:uid="{B75918BE-15DF-45EE-957F-2854D93BB3D1}" name="Existing Jira Ticket" dataDxfId="148"/>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78050C-7C7F-4971-A25A-83E5F1A066E3}" name="Tabelle7" displayName="Tabelle7" ref="A3:U6" totalsRowShown="0" headerRowDxfId="147" dataDxfId="146" tableBorderDxfId="145">
  <autoFilter ref="A3:U6" xr:uid="{7B78050C-7C7F-4971-A25A-83E5F1A066E3}"/>
  <tableColumns count="21">
    <tableColumn id="1" xr3:uid="{DAA0932D-4131-49B2-9CCB-90FDBB8F530E}" name="Checkpoint" dataDxfId="144"/>
    <tableColumn id="2" xr3:uid="{821EF5F9-79DB-4D13-8CCA-1A12CB763FC3}" name="Template" dataDxfId="143"/>
    <tableColumn id="3" xr3:uid="{5E8863C2-2AB0-43E4-9627-8265B1941387}" name="Section" dataDxfId="142"/>
    <tableColumn id="4" xr3:uid="{93FE3A70-D52A-464A-9691-774AFFC932E8}" name="Test goal (expected result)" dataDxfId="141"/>
    <tableColumn id="5" xr3:uid="{8192A8D6-100D-4BE0-913D-166012602E15}" name="Section Items" dataDxfId="140"/>
    <tableColumn id="6" xr3:uid="{6AF37359-9ECC-455C-BB56-49973A852D73}" name="TA" dataDxfId="139"/>
    <tableColumn id="7" xr3:uid="{AF50C80D-312F-4EF2-B12B-82535A602228}" name="TA Status" dataDxfId="138"/>
    <tableColumn id="8" xr3:uid="{4FE765FE-13AB-40EB-90A2-8F32AEEE8C8D}" name="Example" dataDxfId="137"/>
    <tableColumn id="9" xr3:uid="{0CCDCF0C-4E8B-4EEC-AEEB-7CED13F8CF58}" name="URL Testcontent" dataDxfId="136"/>
    <tableColumn id="10" xr3:uid="{AA561262-839F-489D-B493-20775761DF8C}" name="Who" dataDxfId="135"/>
    <tableColumn id="11" xr3:uid="{7090A011-12A7-46E5-BB47-F6026C62C022}" name="iPhone 16 iOs v. 26_x000a_ Safari/Mobile" dataDxfId="134"/>
    <tableColumn id="12" xr3:uid="{6452CFF3-5E97-4424-8490-BB193F16C245}" name="iPad iOs v. 26_x000a_Safari/Tablet" dataDxfId="133"/>
    <tableColumn id="13" xr3:uid="{3402A36B-366F-4366-B297-B7D452826D69}" name="MacBook _x000a_Safari v. 12.1.2" dataDxfId="132"/>
    <tableColumn id="14" xr3:uid="{C2F9C2A8-D175-415C-A417-5C7D13598D77}" name="Samsung Galaxy 8_x000a_Android v. IE v. 10.1.00.27_x000a_ Chrome/Mobile" dataDxfId="131"/>
    <tableColumn id="15" xr3:uid="{4448A993-240F-4F52-954B-2F51F8456DA6}" name="Tablet _x000a_Android v. Chrome v. 77_x000a_ Chrome/Tablet" dataDxfId="130"/>
    <tableColumn id="16" xr3:uid="{3D19CFA4-0109-4CD9-A406-FEB635AFF706}" name="Samsung Galaxy 8_x000a_Android Chrome v. 77_x000a_ Chrome/Mobile" dataDxfId="129"/>
    <tableColumn id="17" xr3:uid="{5E3056C0-1DE4-4984-AC98-306E95D5B6EF}" name="Chrome v. 84_x000a_ Chrome/Desktop" dataDxfId="128"/>
    <tableColumn id="18" xr3:uid="{660BDF9E-0AB9-49EF-9CB6-37CAB97D2FAF}" name="Microsoft Edge v. 44_x000a_Chrome/ Desktop" dataDxfId="127"/>
    <tableColumn id="19" xr3:uid="{11FDFAB0-C4FC-44DD-BDEA-57236FB46FC3}" name="FireFox v. 68" dataDxfId="126"/>
    <tableColumn id="20" xr3:uid="{F87FA9F9-37DC-4628-803C-22F39371FDFE}" name="New Jira Ticket" dataDxfId="125"/>
    <tableColumn id="21" xr3:uid="{4B63AF2F-E040-4BB7-BCAE-F1B970F2AB43}" name="Existing Jira Ticket" dataDxfId="124"/>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44A4A7-AB1C-4A77-98E8-3C1B9E337663}" name="Tabelle10" displayName="Tabelle10" ref="A3:U7" totalsRowShown="0" headerRowDxfId="123" dataDxfId="122" tableBorderDxfId="121">
  <autoFilter ref="A3:U7" xr:uid="{E744A4A7-AB1C-4A77-98E8-3C1B9E337663}"/>
  <tableColumns count="21">
    <tableColumn id="1" xr3:uid="{BC63AF85-355C-4512-91C6-A85419A734B2}" name="Checkpoint" dataDxfId="120"/>
    <tableColumn id="2" xr3:uid="{E1132E84-CF5B-47EA-8FB1-732368BFDD15}" name="Template" dataDxfId="119"/>
    <tableColumn id="3" xr3:uid="{8E03935E-4815-48B9-BB09-88A92F0B4E5B}" name="Section" dataDxfId="118"/>
    <tableColumn id="4" xr3:uid="{1D074A9B-7B83-45A5-A6BD-4B87C88EBF84}" name="Test goal (expected result)" dataDxfId="117"/>
    <tableColumn id="5" xr3:uid="{2A5475FD-189A-459D-9F14-67CB78C87D58}" name="Section Items" dataDxfId="116"/>
    <tableColumn id="6" xr3:uid="{3B454FB5-5750-4186-A471-45C9F30CB4A2}" name="TA" dataDxfId="115"/>
    <tableColumn id="7" xr3:uid="{6616A2C6-0E69-495B-85CA-177A20A33137}" name="TA Status" dataDxfId="114"/>
    <tableColumn id="8" xr3:uid="{55C1F7B5-895B-421F-82AE-1DD532248772}" name="Example" dataDxfId="113"/>
    <tableColumn id="9" xr3:uid="{A07F5B4B-7A6F-479F-9810-CFD1BEB0883A}" name="URL Testcontent" dataDxfId="112"/>
    <tableColumn id="10" xr3:uid="{49F5B873-676A-47EE-AE98-71F8E808789B}" name="Who" dataDxfId="111"/>
    <tableColumn id="11" xr3:uid="{8EAC8C84-6125-4E96-9AB6-DD7D2D5F5F87}" name="iPhone 16 iOs v. 26_x000a_ Safari/Mobile" dataDxfId="110"/>
    <tableColumn id="12" xr3:uid="{361478E4-683C-4EB7-8604-A6A28DD25A47}" name="iPad iOs v. 26_x000a_Safari/Tablet" dataDxfId="109"/>
    <tableColumn id="13" xr3:uid="{7F4170AA-E4AA-4AC5-BFA3-8D51D3BD456D}" name="MacBook _x000a_Safari v. 12.1.2" dataDxfId="108"/>
    <tableColumn id="14" xr3:uid="{8EC32D07-5DF1-4B1F-9AA2-2E75E0CE2EE2}" name="Samsung Galaxy 8_x000a_Android v. IE v. 10.1.00.27_x000a_ Chrome/Mobile" dataDxfId="107"/>
    <tableColumn id="15" xr3:uid="{0AC1831D-92BC-4B43-A929-2ABA26A0A3A9}" name="Tablet _x000a_Android v. Chrome v. 77_x000a_ Chrome/Tablet" dataDxfId="106"/>
    <tableColumn id="16" xr3:uid="{D38E58CA-E2FD-45EF-9AC5-9899777164A1}" name="Samsung Galaxy 8_x000a_Android Chrome v. 77_x000a_ Chrome/Mobile" dataDxfId="105"/>
    <tableColumn id="17" xr3:uid="{82421F45-2F00-4971-BEA6-F07A4E478552}" name="Chrome v. 84_x000a_ Chrome/Desktop" dataDxfId="104"/>
    <tableColumn id="18" xr3:uid="{91D6E9E2-AAFD-408D-A829-55C5739509A7}" name="Microsoft Edge v. 44_x000a_Chrome/ Desktop" dataDxfId="103"/>
    <tableColumn id="19" xr3:uid="{80159C5B-CF37-49CE-B9D3-F71FB24CDD93}" name="FireFox v. 68" dataDxfId="102"/>
    <tableColumn id="20" xr3:uid="{91472232-8211-4C33-8529-011DC61AD3C5}" name="New Jira Ticket" dataDxfId="101"/>
    <tableColumn id="21" xr3:uid="{2B22A71D-48D0-4376-A0C6-8E5D1E360C75}" name="Existing Jira Ticket" dataDxfId="100"/>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FDB857-D8E8-441F-B1F0-C375C774B249}" name="Tabelle8" displayName="Tabelle8" ref="A3:U13" totalsRowShown="0" headerRowDxfId="99" dataDxfId="98" tableBorderDxfId="97">
  <autoFilter ref="A3:U13" xr:uid="{24FDB857-D8E8-441F-B1F0-C375C774B249}"/>
  <tableColumns count="21">
    <tableColumn id="1" xr3:uid="{45001497-6B96-47BA-B8CD-ED1A0E0B619F}" name="Checkpoint" dataDxfId="96"/>
    <tableColumn id="2" xr3:uid="{2F382E6E-BFC1-471E-A3B8-230B9BC1CC7D}" name="Template" dataDxfId="95"/>
    <tableColumn id="3" xr3:uid="{E4C2D884-4DDA-4C60-9848-81CF2443A792}" name="Section" dataDxfId="94"/>
    <tableColumn id="4" xr3:uid="{623ACF83-9B4B-45FB-B8D2-49024C08DB41}" name="Test goal (expected result)" dataDxfId="93"/>
    <tableColumn id="5" xr3:uid="{158B172B-6623-4CA6-8FAD-777FC4566B01}" name="Section Items" dataDxfId="92"/>
    <tableColumn id="6" xr3:uid="{476DB6FF-BF58-4824-87E8-84969A685ACE}" name="TA" dataDxfId="91"/>
    <tableColumn id="7" xr3:uid="{ABBB1077-DE21-445E-A4D4-9EFEC0662D26}" name="TA Status" dataDxfId="90"/>
    <tableColumn id="8" xr3:uid="{9460951D-089D-4FD7-B9F9-30E618185DF9}" name="Example" dataDxfId="89"/>
    <tableColumn id="9" xr3:uid="{EABF9765-65E4-43E4-99F3-121002191C8A}" name="URL Testcontent" dataDxfId="88"/>
    <tableColumn id="10" xr3:uid="{8A8344D8-54F6-4B79-B2C5-05DFCB45438F}" name="Who" dataDxfId="87"/>
    <tableColumn id="11" xr3:uid="{40A25401-68FB-4C59-8259-44C9CBBC8858}" name="iPhone 16 iOs v. 26_x000a_ Safari/Mobile" dataDxfId="86"/>
    <tableColumn id="12" xr3:uid="{02DA33DE-2725-4A98-8DB5-EAC7019F9E27}" name="iPad iOs v. 26_x000a_Safari/Tablet" dataDxfId="85"/>
    <tableColumn id="13" xr3:uid="{3B412089-2FA0-4068-801B-1B38BA750C04}" name="MacBook _x000a_Safari v. 12.1.2" dataDxfId="84"/>
    <tableColumn id="14" xr3:uid="{6A0B9DAA-0A14-46CD-9A9B-145F572C11D6}" name="Samsung Galaxy 8_x000a_Android v. IE v. 10.1.00.27_x000a_ Chrome/Mobile" dataDxfId="83"/>
    <tableColumn id="15" xr3:uid="{81A3686E-F11B-4E13-AA62-AD2CF016DCAA}" name="Tablet _x000a_Android v. Chrome v. 77_x000a_ Chrome/Tablet" dataDxfId="82"/>
    <tableColumn id="16" xr3:uid="{5C08D400-1429-49FA-B6E2-7608EB2E8CAE}" name="Samsung Galaxy 8_x000a_Android Chrome v. 77_x000a_ Chrome/Mobile" dataDxfId="81"/>
    <tableColumn id="17" xr3:uid="{99EEC528-409F-43D5-9DE0-E7F7E2B5EFB0}" name="Chrome v. 84_x000a_ Chrome/Desktop" dataDxfId="80"/>
    <tableColumn id="18" xr3:uid="{CC0A0622-257F-4F77-BA98-48049CF9C815}" name="Microsoft Edge v. 44_x000a_Chrome/ Desktop" dataDxfId="79"/>
    <tableColumn id="19" xr3:uid="{BA181CE2-F318-4F77-8637-28756E26C63B}" name="FireFox v. 68" dataDxfId="78"/>
    <tableColumn id="20" xr3:uid="{D3788991-640F-4F5F-B154-62BFC95202FE}" name="New Jira Ticket" dataDxfId="77"/>
    <tableColumn id="21" xr3:uid="{27DDB50C-E4CE-477E-8F72-4E9B5511C459}" name="Existing Jira Ticket" dataDxfId="76"/>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DCE473-9816-40E6-BD69-6792E27B526B}" name="Tabelle9" displayName="Tabelle9" ref="A3:U36" totalsRowShown="0" headerRowDxfId="75" dataDxfId="74" tableBorderDxfId="73">
  <autoFilter ref="A3:U36" xr:uid="{E6DCE473-9816-40E6-BD69-6792E27B526B}"/>
  <tableColumns count="21">
    <tableColumn id="1" xr3:uid="{527954E1-5679-416B-9DB2-DB3BD1B77B81}" name="Checkpoint" dataDxfId="72"/>
    <tableColumn id="2" xr3:uid="{DF4BED95-F0CC-416C-8D8D-084C8A1E16C9}" name="Template" dataDxfId="71"/>
    <tableColumn id="3" xr3:uid="{7BD10BD8-A12A-4BC1-A3B8-ED88A935B8C2}" name="Section" dataDxfId="70"/>
    <tableColumn id="4" xr3:uid="{A8E59AEB-90EA-4FB4-BFF3-033DCB6D1F03}" name="Test goal (expected result)" dataDxfId="69"/>
    <tableColumn id="5" xr3:uid="{20BADFF8-0505-4C47-A933-65128C1E5AF3}" name="Section Items" dataDxfId="68"/>
    <tableColumn id="6" xr3:uid="{1AD11E3B-95F1-4F6C-9D38-45293AE886E2}" name="TA" dataDxfId="67"/>
    <tableColumn id="7" xr3:uid="{1214C290-D40B-40C1-8175-4AC965D51B26}" name="TA Status" dataDxfId="66"/>
    <tableColumn id="8" xr3:uid="{BFE3CDE7-617A-408B-9217-9F69B2E73188}" name="Example" dataDxfId="65"/>
    <tableColumn id="9" xr3:uid="{4B1CAD57-F994-4878-9FD5-706B1B5A6C9B}" name="URL Testcontent" dataDxfId="64"/>
    <tableColumn id="10" xr3:uid="{78A370A4-F7F0-44BB-AB90-827C0CC4ECBA}" name="Who" dataDxfId="63"/>
    <tableColumn id="11" xr3:uid="{0F13FCB3-FB6C-4A63-91E7-15F01E1BF9AF}" name="iPhone 16 iOs v. 26_x000a_ Safari/Mobile" dataDxfId="62"/>
    <tableColumn id="12" xr3:uid="{F9AFCB04-76CB-483F-9D8C-003AC228A497}" name="iPad iOs v. 26_x000a_Safari/Tablet" dataDxfId="61"/>
    <tableColumn id="13" xr3:uid="{79370E09-9CDB-4982-86BB-AE91BDA629FA}" name="MacBook _x000a_Safari v. 12.1.2" dataDxfId="60"/>
    <tableColumn id="14" xr3:uid="{874026FB-8B2A-4DE8-9939-EEF9A89D7A12}" name="Samsung Galaxy 8_x000a_Android v. IE v. 10.1.00.27_x000a_ Chrome/Mobile" dataDxfId="59"/>
    <tableColumn id="15" xr3:uid="{757E9429-B48B-4BD4-8842-33F3B1535633}" name="Tablet _x000a_Android v. Chrome v. 77_x000a_ Chrome/Tablet" dataDxfId="58"/>
    <tableColumn id="16" xr3:uid="{C933411C-BBDA-4334-B8D2-2978066C8884}" name="Samsung Galaxy 8_x000a_Android Chrome v. 77_x000a_ Chrome/Mobile" dataDxfId="57"/>
    <tableColumn id="17" xr3:uid="{D3528579-03E9-49EE-939B-00C645D0031B}" name="Chrome v. 84_x000a_ Chrome/Desktop" dataDxfId="56"/>
    <tableColumn id="18" xr3:uid="{7C6114D4-50E9-4E54-A073-AA242F3938D2}" name="Microsoft Edge v. 44_x000a_Chrome/ Desktop" dataDxfId="55"/>
    <tableColumn id="19" xr3:uid="{F250DFD1-D1E2-4C9A-A4E6-B5BEC69A799E}" name="FireFox v. 68" dataDxfId="54"/>
    <tableColumn id="20" xr3:uid="{3247E56A-C04B-46EA-8A62-793736CE3BA4}" name="New Jira Ticket" dataDxfId="53"/>
    <tableColumn id="21" xr3:uid="{676A1890-A85A-42C3-BC9B-435FBC17B4B3}" name="Existing Jira Ticket" dataDxfId="52"/>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C5C8B8-2DCC-41FB-9830-0A379E072BE9}" name="Tabelle11" displayName="Tabelle11" ref="A3:U31" totalsRowShown="0" headerRowDxfId="304" dataDxfId="302" headerRowBorderDxfId="303" tableBorderDxfId="301" totalsRowBorderDxfId="300">
  <autoFilter ref="A3:U31" xr:uid="{A9C5C8B8-2DCC-41FB-9830-0A379E072BE9}"/>
  <tableColumns count="21">
    <tableColumn id="1" xr3:uid="{37B890B9-A8AF-4696-8C54-6B1ADEBFD1AE}" name="Checkpoint" dataDxfId="299"/>
    <tableColumn id="2" xr3:uid="{90001B38-B2AA-4D91-AA35-D426A24678CA}" name="Template" dataDxfId="298"/>
    <tableColumn id="3" xr3:uid="{080C33F3-83D2-49AA-A20D-2A447BAA7690}" name="Section" dataDxfId="297"/>
    <tableColumn id="4" xr3:uid="{B60F2AA9-0EA7-44B1-A685-983F4BB8BBCC}" name="Test goal (expected result)" dataDxfId="296"/>
    <tableColumn id="5" xr3:uid="{45006F2E-313A-4056-95A1-F202306231D4}" name="Section Items" dataDxfId="295"/>
    <tableColumn id="6" xr3:uid="{0A1ADD17-82B4-4E13-B944-8ED30AA2F879}" name="TA" dataDxfId="294"/>
    <tableColumn id="7" xr3:uid="{4BD64BE7-62A5-4FC2-B9D3-AC31CC9C95E1}" name="TA Status" dataDxfId="293"/>
    <tableColumn id="8" xr3:uid="{41F0BC57-779C-47A0-AEC8-B2F6AE73AF78}" name="Example" dataDxfId="292"/>
    <tableColumn id="9" xr3:uid="{AECE73C1-B44F-4FD2-8989-BA70DF0BCDA6}" name="URL Testcontent" dataDxfId="291"/>
    <tableColumn id="10" xr3:uid="{EE31B1A4-BB60-4CA1-9534-FD632699F38C}" name="Who" dataDxfId="290"/>
    <tableColumn id="11" xr3:uid="{86002A87-DCDC-41DD-961A-1DA82276414B}" name="iPhone 16 iOs v. 26_x000a_ Safari/Mobile" dataDxfId="289"/>
    <tableColumn id="12" xr3:uid="{EBE8B5EF-08E3-4137-94F0-780857DA4659}" name="iPad iOs v. 26_x000a_Safari/Tablet" dataDxfId="288"/>
    <tableColumn id="13" xr3:uid="{42C11389-E023-4353-8E86-D062FC0E2B9F}" name="MacBook _x000a_Safari v. 12.1.2" dataDxfId="287"/>
    <tableColumn id="14" xr3:uid="{1BA26479-138B-4B72-BF2D-DE320653180F}" name="Samsung Galaxy 8_x000a_Android v. IE v. 10.1.00.27_x000a_ Chrome/Mobile" dataDxfId="286"/>
    <tableColumn id="15" xr3:uid="{FAC94318-FDA7-46D6-BAD5-40F89CF5CE01}" name="Tablet _x000a_Android v. Chrome v. 77_x000a_ Chrome/Tablet" dataDxfId="285"/>
    <tableColumn id="16" xr3:uid="{4EFF9DBC-2415-4292-832E-A39D49C73062}" name="Samsung Galaxy 8_x000a_Android Chrome v. 77_x000a_ Chrome/Mobile" dataDxfId="284"/>
    <tableColumn id="17" xr3:uid="{206E0E0E-BC96-4DFF-8499-19B7DE8F6ED1}" name="Chrome v. 84_x000a_ Chrome/Desktop" dataDxfId="283"/>
    <tableColumn id="18" xr3:uid="{4F275104-4E16-4C56-8084-C23A813F3B82}" name="Microsoft Edge v. 44_x000a_Chrome/ Desktop" dataDxfId="282"/>
    <tableColumn id="19" xr3:uid="{6C89821B-62D9-4DEF-8B36-8B6B71E0BACF}" name="FireFox v. 68" dataDxfId="281"/>
    <tableColumn id="20" xr3:uid="{ABD4A501-BDAA-4237-9BAF-8632742656F8}" name="New Jira Ticket" dataDxfId="280"/>
    <tableColumn id="21" xr3:uid="{9547650D-844F-437C-AA8E-9098EA1E3B27}" name="Existing Jira Ticket" dataDxfId="279"/>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BD31CC0-B45A-4296-AA3D-83AA392D5060}" name="Tabelle1314" displayName="Tabelle1314" ref="A3:U54" totalsRowShown="0" headerRowDxfId="51" dataDxfId="49" headerRowBorderDxfId="50" tableBorderDxfId="48" totalsRowBorderDxfId="47">
  <autoFilter ref="A3:U54" xr:uid="{2D652DA5-00E7-4302-BDAC-C09AA3992493}"/>
  <tableColumns count="21">
    <tableColumn id="1" xr3:uid="{1151B3FC-7521-4B9C-9661-5F6B18B8DDD8}" name="Checkpoint" dataDxfId="46"/>
    <tableColumn id="2" xr3:uid="{CBA04044-79AD-47A5-B4D3-3AC3C6851D29}" name="Template" dataDxfId="45"/>
    <tableColumn id="3" xr3:uid="{63ADF6B0-1A44-486E-8B07-E71DA36AC0C8}" name="Section" dataDxfId="44"/>
    <tableColumn id="4" xr3:uid="{1BB5DEC6-F2BE-42AA-9C47-51EA921A201A}" name="Test goal (expected result)" dataDxfId="43"/>
    <tableColumn id="5" xr3:uid="{31BB4503-7829-437F-81C3-8EDE95A53FA9}" name="Section Items" dataDxfId="42"/>
    <tableColumn id="6" xr3:uid="{6820A1E3-636D-4943-BA21-FFAB035A0AB2}" name="TA" dataDxfId="41"/>
    <tableColumn id="7" xr3:uid="{41114992-F080-46D2-A034-6ABC9737E166}" name="TA Status" dataDxfId="40"/>
    <tableColumn id="8" xr3:uid="{E58DD0A7-7421-4CAC-9284-33E3E1DC953F}" name="Example" dataDxfId="39"/>
    <tableColumn id="9" xr3:uid="{D9FC3314-4485-43BF-AB83-33F3FB624F02}" name="URL Testcontent" dataDxfId="38"/>
    <tableColumn id="10" xr3:uid="{7C35CC92-0593-463B-800F-B301CD4DDA61}" name="Who" dataDxfId="37"/>
    <tableColumn id="11" xr3:uid="{95D33E51-6D43-4D80-982A-7F9783F846BE}" name="iPhone 16 iOs v. 26_x000a_ Safari/Mobile" dataDxfId="36"/>
    <tableColumn id="12" xr3:uid="{91EC369F-3152-481A-8D70-EDFD05A47A6B}" name="iPad iOs v. 26_x000a_Safari/Tablet" dataDxfId="35"/>
    <tableColumn id="13" xr3:uid="{C9820195-F110-48BB-BE9F-6ECDCC6690E8}" name="MacBook _x000a_Safari v. 12.1.2" dataDxfId="34"/>
    <tableColumn id="14" xr3:uid="{B96A9630-844D-41FD-805F-26108DB552A7}" name="Samsung Galaxy 8_x000a_Android v. IE v. 10.1.00.27_x000a_ Chrome/Mobile" dataDxfId="33"/>
    <tableColumn id="15" xr3:uid="{DDFA129C-7B70-4034-B775-4A40C3CE2687}" name="Tablet _x000a_Android v. Chrome v. 77_x000a_ Chrome/Tablet" dataDxfId="32"/>
    <tableColumn id="16" xr3:uid="{3E5B1BD3-E9CF-44D4-BAEB-C1F18F9D61A0}" name="Samsung Galaxy 8_x000a_Android Chrome v. 77_x000a_ Chrome/Mobile" dataDxfId="31"/>
    <tableColumn id="17" xr3:uid="{70461EA9-CC83-42B4-8BA7-0201BE93B076}" name="Chrome v. 84_x000a_ Chrome/Desktop" dataDxfId="30"/>
    <tableColumn id="18" xr3:uid="{E2CA516E-66C4-4051-8AD9-1921F969A165}" name="Microsoft Edge v. 44_x000a_Chrome/ Desktop" dataDxfId="29"/>
    <tableColumn id="19" xr3:uid="{B47AAFB0-BCFA-4ACD-A27E-D58C424D4141}" name="FireFox v. 68" dataDxfId="28"/>
    <tableColumn id="20" xr3:uid="{F0FF1F20-229C-4471-BA70-975A756F6DBF}" name="New Jira Ticket" dataDxfId="27"/>
    <tableColumn id="21" xr3:uid="{8AB7F341-8376-4A0B-8A8E-B1F5D27361CE}" name="Existing Jira Ticket" dataDxfId="26"/>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63E70-7CFB-42D2-A07A-C4223410BB03}" name="Tabelle13" displayName="Tabelle13" ref="A3:U54" totalsRowShown="0" headerRowDxfId="25" dataDxfId="23" headerRowBorderDxfId="24" tableBorderDxfId="22" totalsRowBorderDxfId="21">
  <autoFilter ref="A3:U54" xr:uid="{2D652DA5-00E7-4302-BDAC-C09AA3992493}"/>
  <tableColumns count="21">
    <tableColumn id="1" xr3:uid="{4D96801F-1070-48E8-A491-248BADEE3206}" name="Checkpoint" dataDxfId="20"/>
    <tableColumn id="2" xr3:uid="{E2C1109A-5582-43A7-87BC-10F5B471F94E}" name="Template" dataDxfId="19"/>
    <tableColumn id="3" xr3:uid="{923DF985-8C06-460D-AB2C-D2E507B9456B}" name="Section" dataDxfId="18"/>
    <tableColumn id="4" xr3:uid="{B3A5C752-6C38-4793-85E7-6C4E8DB02E46}" name="Test goal (expected result)" dataDxfId="17"/>
    <tableColumn id="5" xr3:uid="{C1C7A49E-3CCC-44CD-84EF-1DA2C1E53718}" name="Section Items" dataDxfId="16"/>
    <tableColumn id="6" xr3:uid="{C940D8E0-2E22-4C0D-9A7E-4F6D0A26A9A9}" name="TA" dataDxfId="15"/>
    <tableColumn id="7" xr3:uid="{6629EAF8-1D32-4513-ACEB-8F17DB1C67E7}" name="TA Status" dataDxfId="14"/>
    <tableColumn id="8" xr3:uid="{1A38AD99-F55E-40D7-BC87-1672A76FE6C0}" name="Example" dataDxfId="13"/>
    <tableColumn id="9" xr3:uid="{E3E99AB6-6D09-4D9F-AC24-33E0F467C1AB}" name="URL Testcontent" dataDxfId="12"/>
    <tableColumn id="10" xr3:uid="{31BDDA9A-8441-4D69-973A-BB6675767D5D}" name="Who" dataDxfId="11"/>
    <tableColumn id="11" xr3:uid="{32B9974A-C9AE-4C1B-B5AF-7314975EA868}" name="iPhone 16 iOs v. 26_x000a_ Safari/Mobile" dataDxfId="10"/>
    <tableColumn id="12" xr3:uid="{0585973B-D8D7-4EC6-9722-5A98467C3A23}" name="iPad iOs v. 26_x000a_Safari/Tablet" dataDxfId="9"/>
    <tableColumn id="13" xr3:uid="{6A44E466-12CA-4EFA-989D-B575ADE85CB9}" name="MacBook _x000a_Safari v. 12.1.2" dataDxfId="8"/>
    <tableColumn id="14" xr3:uid="{3F187C18-77C7-4EAB-AEA4-2D0B07E3047E}" name="Samsung Galaxy 8_x000a_Android v. IE v. 10.1.00.27_x000a_ Chrome/Mobile" dataDxfId="7"/>
    <tableColumn id="15" xr3:uid="{4E5ADBF3-C009-416A-9542-186BE9BD7262}" name="Tablet _x000a_Android v. Chrome v. 77_x000a_ Chrome/Tablet" dataDxfId="6"/>
    <tableColumn id="16" xr3:uid="{3FD7AE3F-7847-4D8B-A90E-C4D4F2A2BC57}" name="Samsung Galaxy 8_x000a_Android Chrome v. 77_x000a_ Chrome/Mobile" dataDxfId="5"/>
    <tableColumn id="17" xr3:uid="{0DDFC4BD-4CBF-4754-9965-1A5CB06E0DC7}" name="Chrome v. 84_x000a_ Chrome/Desktop" dataDxfId="4"/>
    <tableColumn id="18" xr3:uid="{95D1FCD3-5B8A-48E0-BF27-D54297DAD0D8}" name="Microsoft Edge v. 44_x000a_Chrome/ Desktop" dataDxfId="3"/>
    <tableColumn id="19" xr3:uid="{D69F86F7-6EB8-49EA-894D-C8F0A643E293}" name="FireFox v. 68" dataDxfId="2"/>
    <tableColumn id="20" xr3:uid="{135820FF-2347-4F76-A838-5E34028A0405}" name="New Jira Ticket" dataDxfId="1"/>
    <tableColumn id="21" xr3:uid="{6CDABE83-F61E-4A3B-A230-5DF0D1B116D0}" name="Existing Jira Ticket"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s-stage-vw.lighthouselabs.eu/de1/modelle/taigo.html" TargetMode="External"/><Relationship Id="rId1" Type="http://schemas.openxmlformats.org/officeDocument/2006/relationships/hyperlink" Target="https://ngw-stage.lighthouselabs.eu/de1/modelle/golf.html" TargetMode="Externa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topLeftCell="A64" zoomScale="85" zoomScaleNormal="85" workbookViewId="0">
      <selection activeCell="D86" sqref="D86"/>
    </sheetView>
  </sheetViews>
  <sheetFormatPr defaultColWidth="10.7109375" defaultRowHeight="15" x14ac:dyDescent="0.25"/>
  <cols>
    <col min="1" max="1" width="16.5703125" customWidth="1"/>
    <col min="2" max="2" width="11.7109375" customWidth="1"/>
    <col min="3" max="3" width="16.7109375" customWidth="1"/>
    <col min="4" max="4" width="158" customWidth="1"/>
  </cols>
  <sheetData>
    <row r="1" spans="1:4" x14ac:dyDescent="0.25">
      <c r="A1" s="27" t="s">
        <v>0</v>
      </c>
      <c r="B1" s="27" t="s">
        <v>1</v>
      </c>
      <c r="C1" s="27" t="s">
        <v>2</v>
      </c>
      <c r="D1" s="27" t="s">
        <v>3</v>
      </c>
    </row>
    <row r="2" spans="1:4" x14ac:dyDescent="0.25">
      <c r="A2" s="24" t="s">
        <v>4</v>
      </c>
      <c r="B2" s="25">
        <v>43989</v>
      </c>
      <c r="C2" s="24" t="s">
        <v>5</v>
      </c>
      <c r="D2" s="24" t="s">
        <v>6</v>
      </c>
    </row>
    <row r="3" spans="1:4" x14ac:dyDescent="0.25">
      <c r="A3" s="24" t="s">
        <v>7</v>
      </c>
      <c r="B3" s="25">
        <v>44019</v>
      </c>
      <c r="C3" s="24" t="s">
        <v>8</v>
      </c>
      <c r="D3" s="24" t="s">
        <v>9</v>
      </c>
    </row>
    <row r="4" spans="1:4" x14ac:dyDescent="0.25">
      <c r="A4" s="24" t="s">
        <v>10</v>
      </c>
      <c r="B4" s="25">
        <v>44050</v>
      </c>
      <c r="C4" s="24" t="s">
        <v>8</v>
      </c>
      <c r="D4" s="24" t="s">
        <v>11</v>
      </c>
    </row>
    <row r="5" spans="1:4" x14ac:dyDescent="0.25">
      <c r="A5" s="24" t="s">
        <v>12</v>
      </c>
      <c r="B5" s="25">
        <v>44111</v>
      </c>
      <c r="C5" s="24" t="s">
        <v>8</v>
      </c>
      <c r="D5" s="24" t="s">
        <v>13</v>
      </c>
    </row>
    <row r="6" spans="1:4" x14ac:dyDescent="0.25">
      <c r="A6" s="24" t="s">
        <v>14</v>
      </c>
      <c r="B6" s="28" t="s">
        <v>15</v>
      </c>
      <c r="C6" s="24" t="s">
        <v>8</v>
      </c>
      <c r="D6" s="24" t="s">
        <v>16</v>
      </c>
    </row>
    <row r="7" spans="1:4" x14ac:dyDescent="0.25">
      <c r="A7" s="24" t="s">
        <v>17</v>
      </c>
      <c r="B7" s="25">
        <v>44053</v>
      </c>
      <c r="C7" s="24" t="s">
        <v>18</v>
      </c>
      <c r="D7" s="24" t="s">
        <v>19</v>
      </c>
    </row>
    <row r="8" spans="1:4" x14ac:dyDescent="0.25">
      <c r="A8" s="24" t="s">
        <v>20</v>
      </c>
      <c r="B8" s="28" t="s">
        <v>21</v>
      </c>
      <c r="C8" s="24" t="s">
        <v>8</v>
      </c>
      <c r="D8" s="24" t="s">
        <v>16</v>
      </c>
    </row>
    <row r="9" spans="1:4" x14ac:dyDescent="0.25">
      <c r="A9" s="24" t="s">
        <v>22</v>
      </c>
      <c r="B9" s="28" t="s">
        <v>23</v>
      </c>
      <c r="C9" s="24" t="s">
        <v>8</v>
      </c>
      <c r="D9" s="24" t="s">
        <v>16</v>
      </c>
    </row>
    <row r="10" spans="1:4" x14ac:dyDescent="0.25">
      <c r="A10" s="24" t="s">
        <v>24</v>
      </c>
      <c r="B10" s="25">
        <v>44092</v>
      </c>
      <c r="C10" s="24" t="s">
        <v>18</v>
      </c>
      <c r="D10" s="24" t="s">
        <v>25</v>
      </c>
    </row>
    <row r="11" spans="1:4" x14ac:dyDescent="0.25">
      <c r="A11" s="24"/>
      <c r="B11" s="24"/>
      <c r="C11" s="24"/>
      <c r="D11" s="24" t="s">
        <v>26</v>
      </c>
    </row>
    <row r="12" spans="1:4" x14ac:dyDescent="0.25">
      <c r="A12" s="31" t="s">
        <v>27</v>
      </c>
      <c r="B12" s="32" t="s">
        <v>28</v>
      </c>
      <c r="C12" s="31" t="s">
        <v>8</v>
      </c>
      <c r="D12" s="30" t="s">
        <v>29</v>
      </c>
    </row>
    <row r="13" spans="1:4" x14ac:dyDescent="0.25">
      <c r="A13" s="254" t="s">
        <v>30</v>
      </c>
      <c r="B13" s="25">
        <v>44112</v>
      </c>
      <c r="C13" s="24" t="s">
        <v>18</v>
      </c>
      <c r="D13" s="24" t="s">
        <v>31</v>
      </c>
    </row>
    <row r="14" spans="1:4" x14ac:dyDescent="0.25">
      <c r="A14" s="254"/>
      <c r="B14" s="25">
        <v>44112</v>
      </c>
      <c r="C14" s="24" t="s">
        <v>18</v>
      </c>
      <c r="D14" s="29" t="s">
        <v>32</v>
      </c>
    </row>
    <row r="15" spans="1:4" x14ac:dyDescent="0.25">
      <c r="A15" s="254"/>
      <c r="B15" s="25">
        <v>44112</v>
      </c>
      <c r="C15" s="24" t="s">
        <v>18</v>
      </c>
      <c r="D15" s="24" t="s">
        <v>33</v>
      </c>
    </row>
    <row r="16" spans="1:4" x14ac:dyDescent="0.25">
      <c r="A16" s="254"/>
      <c r="B16" s="25">
        <v>44112</v>
      </c>
      <c r="C16" s="24" t="s">
        <v>18</v>
      </c>
      <c r="D16" s="24" t="s">
        <v>34</v>
      </c>
    </row>
    <row r="17" spans="1:4" x14ac:dyDescent="0.25">
      <c r="A17" s="254"/>
      <c r="B17" s="25">
        <v>44112</v>
      </c>
      <c r="C17" s="24" t="s">
        <v>18</v>
      </c>
      <c r="D17" s="29" t="s">
        <v>35</v>
      </c>
    </row>
    <row r="18" spans="1:4" x14ac:dyDescent="0.25">
      <c r="A18" s="254"/>
      <c r="B18" s="25">
        <v>44112</v>
      </c>
      <c r="C18" s="24" t="s">
        <v>18</v>
      </c>
      <c r="D18" s="29" t="s">
        <v>36</v>
      </c>
    </row>
    <row r="19" spans="1:4" x14ac:dyDescent="0.25">
      <c r="A19" s="254"/>
      <c r="B19" s="25">
        <v>44112</v>
      </c>
      <c r="C19" s="24" t="s">
        <v>18</v>
      </c>
      <c r="D19" s="24" t="s">
        <v>37</v>
      </c>
    </row>
    <row r="20" spans="1:4" x14ac:dyDescent="0.25">
      <c r="A20" s="254"/>
      <c r="B20" s="25">
        <v>44112</v>
      </c>
      <c r="C20" s="24" t="s">
        <v>18</v>
      </c>
      <c r="D20" s="24" t="s">
        <v>38</v>
      </c>
    </row>
    <row r="21" spans="1:4" x14ac:dyDescent="0.25">
      <c r="A21" s="254"/>
      <c r="B21" s="25">
        <v>44112</v>
      </c>
      <c r="C21" s="24" t="s">
        <v>18</v>
      </c>
      <c r="D21" s="24" t="s">
        <v>39</v>
      </c>
    </row>
    <row r="22" spans="1:4" x14ac:dyDescent="0.25">
      <c r="A22" s="254"/>
      <c r="B22" s="25">
        <v>44112</v>
      </c>
      <c r="C22" s="24" t="s">
        <v>18</v>
      </c>
      <c r="D22" s="29" t="s">
        <v>40</v>
      </c>
    </row>
    <row r="23" spans="1:4" x14ac:dyDescent="0.25">
      <c r="A23" s="24" t="s">
        <v>41</v>
      </c>
      <c r="B23" s="25" t="s">
        <v>42</v>
      </c>
      <c r="C23" s="24" t="s">
        <v>43</v>
      </c>
      <c r="D23" s="24" t="s">
        <v>44</v>
      </c>
    </row>
    <row r="24" spans="1:4" x14ac:dyDescent="0.25">
      <c r="A24" s="24" t="s">
        <v>45</v>
      </c>
      <c r="B24" s="25" t="s">
        <v>46</v>
      </c>
      <c r="C24" s="24" t="s">
        <v>43</v>
      </c>
      <c r="D24" s="24" t="s">
        <v>47</v>
      </c>
    </row>
    <row r="25" spans="1:4" x14ac:dyDescent="0.25">
      <c r="A25" s="24" t="s">
        <v>45</v>
      </c>
      <c r="B25" s="25" t="s">
        <v>46</v>
      </c>
      <c r="C25" s="24" t="s">
        <v>43</v>
      </c>
      <c r="D25" s="24" t="s">
        <v>48</v>
      </c>
    </row>
    <row r="26" spans="1:4" x14ac:dyDescent="0.25">
      <c r="A26" s="24" t="s">
        <v>45</v>
      </c>
      <c r="B26" s="25" t="s">
        <v>46</v>
      </c>
      <c r="C26" s="24" t="s">
        <v>43</v>
      </c>
      <c r="D26" s="24" t="s">
        <v>49</v>
      </c>
    </row>
    <row r="27" spans="1:4" x14ac:dyDescent="0.25">
      <c r="A27" s="24" t="s">
        <v>50</v>
      </c>
      <c r="B27" s="25" t="s">
        <v>51</v>
      </c>
      <c r="C27" s="24" t="s">
        <v>43</v>
      </c>
      <c r="D27" s="24" t="s">
        <v>52</v>
      </c>
    </row>
    <row r="28" spans="1:4" x14ac:dyDescent="0.25">
      <c r="A28" s="24"/>
      <c r="B28" s="25">
        <v>44200</v>
      </c>
      <c r="C28" s="24" t="s">
        <v>53</v>
      </c>
      <c r="D28" s="24" t="s">
        <v>54</v>
      </c>
    </row>
    <row r="29" spans="1:4" x14ac:dyDescent="0.25">
      <c r="A29" s="24"/>
      <c r="B29" s="25">
        <v>44224</v>
      </c>
      <c r="C29" s="24" t="s">
        <v>53</v>
      </c>
      <c r="D29" s="24" t="s">
        <v>55</v>
      </c>
    </row>
    <row r="30" spans="1:4" x14ac:dyDescent="0.25">
      <c r="A30" s="24"/>
      <c r="B30" s="25">
        <v>44229</v>
      </c>
      <c r="C30" s="24" t="s">
        <v>56</v>
      </c>
      <c r="D30" s="24" t="s">
        <v>57</v>
      </c>
    </row>
    <row r="31" spans="1:4" x14ac:dyDescent="0.25">
      <c r="A31" s="24"/>
      <c r="B31" s="25">
        <v>44245</v>
      </c>
      <c r="C31" s="24" t="s">
        <v>18</v>
      </c>
      <c r="D31" s="24" t="s">
        <v>58</v>
      </c>
    </row>
    <row r="32" spans="1:4" x14ac:dyDescent="0.25">
      <c r="A32" s="24" t="s">
        <v>59</v>
      </c>
      <c r="B32" s="25">
        <v>44287</v>
      </c>
      <c r="C32" s="24" t="s">
        <v>60</v>
      </c>
      <c r="D32" s="24" t="s">
        <v>61</v>
      </c>
    </row>
    <row r="33" spans="1:4" x14ac:dyDescent="0.25">
      <c r="A33" s="24" t="s">
        <v>62</v>
      </c>
      <c r="B33" s="25">
        <v>44306</v>
      </c>
      <c r="C33" s="24" t="s">
        <v>63</v>
      </c>
      <c r="D33" s="24" t="s">
        <v>64</v>
      </c>
    </row>
    <row r="34" spans="1:4" x14ac:dyDescent="0.25">
      <c r="A34" s="24" t="s">
        <v>65</v>
      </c>
      <c r="B34" s="25">
        <v>44307</v>
      </c>
      <c r="C34" s="24" t="s">
        <v>8</v>
      </c>
      <c r="D34" s="24" t="s">
        <v>66</v>
      </c>
    </row>
    <row r="35" spans="1:4" x14ac:dyDescent="0.25">
      <c r="A35" s="24" t="s">
        <v>67</v>
      </c>
      <c r="B35" s="25">
        <v>44313</v>
      </c>
      <c r="C35" s="24" t="s">
        <v>18</v>
      </c>
      <c r="D35" s="24" t="s">
        <v>68</v>
      </c>
    </row>
    <row r="36" spans="1:4" x14ac:dyDescent="0.25">
      <c r="A36" s="24"/>
      <c r="B36" s="25">
        <v>44313</v>
      </c>
      <c r="C36" s="24" t="s">
        <v>18</v>
      </c>
      <c r="D36" s="24" t="s">
        <v>69</v>
      </c>
    </row>
    <row r="37" spans="1:4" x14ac:dyDescent="0.25">
      <c r="A37" s="24"/>
      <c r="B37" s="25">
        <v>44313</v>
      </c>
      <c r="C37" s="24" t="s">
        <v>18</v>
      </c>
      <c r="D37" s="24" t="s">
        <v>70</v>
      </c>
    </row>
    <row r="38" spans="1:4" x14ac:dyDescent="0.25">
      <c r="A38" s="24"/>
      <c r="B38" s="25">
        <v>44313</v>
      </c>
      <c r="C38" s="24" t="s">
        <v>18</v>
      </c>
      <c r="D38" s="24" t="s">
        <v>71</v>
      </c>
    </row>
    <row r="39" spans="1:4" x14ac:dyDescent="0.25">
      <c r="A39" s="26"/>
      <c r="B39" s="25">
        <v>44313</v>
      </c>
      <c r="C39" s="24" t="s">
        <v>18</v>
      </c>
      <c r="D39" s="24" t="s">
        <v>72</v>
      </c>
    </row>
    <row r="40" spans="1:4" x14ac:dyDescent="0.25">
      <c r="A40" s="24"/>
      <c r="B40" s="25">
        <v>44313</v>
      </c>
      <c r="C40" s="24" t="s">
        <v>18</v>
      </c>
      <c r="D40" s="24" t="s">
        <v>73</v>
      </c>
    </row>
    <row r="41" spans="1:4" x14ac:dyDescent="0.25">
      <c r="A41" s="24"/>
      <c r="B41" s="25">
        <v>44349</v>
      </c>
      <c r="C41" s="24" t="s">
        <v>56</v>
      </c>
      <c r="D41" s="24" t="s">
        <v>74</v>
      </c>
    </row>
    <row r="42" spans="1:4" x14ac:dyDescent="0.25">
      <c r="A42" s="24"/>
      <c r="B42" s="25">
        <v>44391</v>
      </c>
      <c r="C42" s="24" t="s">
        <v>56</v>
      </c>
      <c r="D42" s="24" t="s">
        <v>512</v>
      </c>
    </row>
    <row r="43" spans="1:4" x14ac:dyDescent="0.25">
      <c r="A43" s="24"/>
      <c r="B43" s="25">
        <v>44391</v>
      </c>
      <c r="C43" s="24" t="s">
        <v>513</v>
      </c>
      <c r="D43" s="24" t="s">
        <v>514</v>
      </c>
    </row>
    <row r="44" spans="1:4" x14ac:dyDescent="0.25">
      <c r="A44" s="24"/>
      <c r="B44" s="25">
        <v>44404</v>
      </c>
      <c r="C44" s="24" t="s">
        <v>515</v>
      </c>
      <c r="D44" s="24" t="s">
        <v>516</v>
      </c>
    </row>
    <row r="45" spans="1:4" x14ac:dyDescent="0.25">
      <c r="A45" s="24"/>
      <c r="B45" s="25">
        <v>44411</v>
      </c>
      <c r="C45" s="24" t="s">
        <v>56</v>
      </c>
      <c r="D45" s="24" t="s">
        <v>517</v>
      </c>
    </row>
    <row r="46" spans="1:4" x14ac:dyDescent="0.25">
      <c r="A46" s="24"/>
      <c r="B46" s="25">
        <v>44411</v>
      </c>
      <c r="C46" s="24" t="s">
        <v>515</v>
      </c>
      <c r="D46" s="24" t="s">
        <v>518</v>
      </c>
    </row>
    <row r="47" spans="1:4" x14ac:dyDescent="0.25">
      <c r="A47" s="24"/>
      <c r="B47" s="25">
        <v>44427</v>
      </c>
      <c r="C47" s="24" t="s">
        <v>515</v>
      </c>
      <c r="D47" s="24" t="s">
        <v>519</v>
      </c>
    </row>
    <row r="48" spans="1:4" x14ac:dyDescent="0.25">
      <c r="A48" s="24"/>
      <c r="B48" s="25">
        <v>44433</v>
      </c>
      <c r="C48" s="24" t="s">
        <v>513</v>
      </c>
      <c r="D48" s="24" t="s">
        <v>520</v>
      </c>
    </row>
    <row r="49" spans="1:4" x14ac:dyDescent="0.25">
      <c r="A49" s="24"/>
      <c r="B49" s="25">
        <v>44442</v>
      </c>
      <c r="C49" s="24" t="s">
        <v>18</v>
      </c>
      <c r="D49" s="24" t="s">
        <v>522</v>
      </c>
    </row>
    <row r="50" spans="1:4" x14ac:dyDescent="0.25">
      <c r="A50" s="24"/>
      <c r="B50" s="25">
        <v>44526</v>
      </c>
      <c r="C50" s="24" t="s">
        <v>18</v>
      </c>
      <c r="D50" s="24" t="s">
        <v>528</v>
      </c>
    </row>
    <row r="51" spans="1:4" x14ac:dyDescent="0.25">
      <c r="A51" s="24"/>
      <c r="B51" s="25">
        <v>44545</v>
      </c>
      <c r="C51" s="24" t="s">
        <v>513</v>
      </c>
      <c r="D51" s="24" t="s">
        <v>531</v>
      </c>
    </row>
    <row r="52" spans="1:4" x14ac:dyDescent="0.25">
      <c r="A52" s="24"/>
      <c r="B52" s="25">
        <v>44243</v>
      </c>
      <c r="C52" s="24" t="s">
        <v>56</v>
      </c>
      <c r="D52" s="24" t="s">
        <v>532</v>
      </c>
    </row>
    <row r="53" spans="1:4" x14ac:dyDescent="0.25">
      <c r="A53" s="24"/>
      <c r="B53" s="25">
        <v>44705</v>
      </c>
      <c r="C53" s="24" t="s">
        <v>533</v>
      </c>
      <c r="D53" s="54" t="s">
        <v>534</v>
      </c>
    </row>
    <row r="54" spans="1:4" x14ac:dyDescent="0.25">
      <c r="A54" s="24"/>
      <c r="B54" s="25">
        <v>44756</v>
      </c>
      <c r="C54" s="24" t="s">
        <v>536</v>
      </c>
      <c r="D54" s="24" t="s">
        <v>535</v>
      </c>
    </row>
    <row r="55" spans="1:4" x14ac:dyDescent="0.25">
      <c r="A55" s="24" t="s">
        <v>538</v>
      </c>
      <c r="B55" s="25">
        <v>44818</v>
      </c>
      <c r="C55" s="24" t="s">
        <v>533</v>
      </c>
      <c r="D55" s="54" t="s">
        <v>539</v>
      </c>
    </row>
    <row r="56" spans="1:4" x14ac:dyDescent="0.25">
      <c r="A56" s="24" t="s">
        <v>540</v>
      </c>
      <c r="B56" s="25">
        <v>44845</v>
      </c>
      <c r="C56" s="24" t="s">
        <v>533</v>
      </c>
      <c r="D56" s="54" t="s">
        <v>541</v>
      </c>
    </row>
    <row r="57" spans="1:4" x14ac:dyDescent="0.25">
      <c r="A57" s="25">
        <v>44922</v>
      </c>
      <c r="B57" s="25">
        <v>44922</v>
      </c>
      <c r="C57" s="24" t="s">
        <v>543</v>
      </c>
      <c r="D57" s="24" t="s">
        <v>544</v>
      </c>
    </row>
    <row r="58" spans="1:4" x14ac:dyDescent="0.25">
      <c r="A58" s="31"/>
      <c r="B58" s="59">
        <v>44922</v>
      </c>
      <c r="C58" s="31" t="s">
        <v>543</v>
      </c>
      <c r="D58" s="31" t="s">
        <v>545</v>
      </c>
    </row>
    <row r="59" spans="1:4" x14ac:dyDescent="0.25">
      <c r="A59" s="31" t="s">
        <v>551</v>
      </c>
      <c r="B59" s="55">
        <v>44988</v>
      </c>
      <c r="C59" s="57" t="s">
        <v>533</v>
      </c>
      <c r="D59" s="61" t="s">
        <v>553</v>
      </c>
    </row>
    <row r="60" spans="1:4" x14ac:dyDescent="0.25">
      <c r="A60" s="26"/>
      <c r="B60" s="56"/>
      <c r="C60" s="58"/>
      <c r="D60" s="62" t="s">
        <v>550</v>
      </c>
    </row>
    <row r="61" spans="1:4" x14ac:dyDescent="0.25">
      <c r="A61" s="31" t="s">
        <v>554</v>
      </c>
      <c r="B61" s="60">
        <v>45001</v>
      </c>
      <c r="C61" s="26" t="s">
        <v>63</v>
      </c>
      <c r="D61" s="63" t="s">
        <v>565</v>
      </c>
    </row>
    <row r="62" spans="1:4" x14ac:dyDescent="0.25">
      <c r="A62" s="25">
        <v>45035</v>
      </c>
      <c r="B62" s="25">
        <v>45035</v>
      </c>
      <c r="C62" s="24" t="s">
        <v>566</v>
      </c>
      <c r="D62" s="24" t="s">
        <v>567</v>
      </c>
    </row>
    <row r="63" spans="1:4" x14ac:dyDescent="0.25">
      <c r="A63" s="24"/>
      <c r="B63" s="25">
        <v>45036</v>
      </c>
      <c r="C63" s="24" t="s">
        <v>536</v>
      </c>
      <c r="D63" s="24" t="s">
        <v>572</v>
      </c>
    </row>
    <row r="64" spans="1:4" x14ac:dyDescent="0.25">
      <c r="A64" s="24"/>
      <c r="B64" s="25">
        <v>45065</v>
      </c>
      <c r="C64" s="24" t="s">
        <v>543</v>
      </c>
      <c r="D64" s="24" t="s">
        <v>573</v>
      </c>
    </row>
    <row r="65" spans="1:4" x14ac:dyDescent="0.25">
      <c r="A65" s="24"/>
      <c r="B65" s="25">
        <v>45065</v>
      </c>
      <c r="C65" s="24" t="s">
        <v>566</v>
      </c>
      <c r="D65" s="24" t="s">
        <v>574</v>
      </c>
    </row>
    <row r="66" spans="1:4" x14ac:dyDescent="0.25">
      <c r="A66" s="24"/>
      <c r="B66" s="25">
        <v>45065</v>
      </c>
      <c r="C66" s="24" t="s">
        <v>536</v>
      </c>
      <c r="D66" s="24" t="s">
        <v>575</v>
      </c>
    </row>
    <row r="67" spans="1:4" x14ac:dyDescent="0.25">
      <c r="A67" s="24"/>
      <c r="B67" s="25">
        <v>45126</v>
      </c>
      <c r="C67" s="24" t="s">
        <v>533</v>
      </c>
      <c r="D67" s="64" t="s">
        <v>577</v>
      </c>
    </row>
    <row r="68" spans="1:4" x14ac:dyDescent="0.25">
      <c r="A68" s="24"/>
      <c r="B68" s="25">
        <v>45266</v>
      </c>
      <c r="C68" s="24" t="s">
        <v>533</v>
      </c>
      <c r="D68" s="54" t="s">
        <v>580</v>
      </c>
    </row>
    <row r="69" spans="1:4" x14ac:dyDescent="0.25">
      <c r="A69" s="259"/>
      <c r="B69" s="255">
        <v>45280</v>
      </c>
      <c r="C69" s="257" t="s">
        <v>533</v>
      </c>
      <c r="D69" s="54" t="s">
        <v>585</v>
      </c>
    </row>
    <row r="70" spans="1:4" x14ac:dyDescent="0.25">
      <c r="A70" s="260"/>
      <c r="B70" s="256"/>
      <c r="C70" s="258"/>
      <c r="D70" s="54" t="s">
        <v>586</v>
      </c>
    </row>
    <row r="71" spans="1:4" x14ac:dyDescent="0.25">
      <c r="A71" s="24" t="s">
        <v>595</v>
      </c>
      <c r="B71" s="255">
        <v>45812</v>
      </c>
      <c r="C71" s="261" t="s">
        <v>591</v>
      </c>
      <c r="D71" s="54" t="s">
        <v>592</v>
      </c>
    </row>
    <row r="72" spans="1:4" x14ac:dyDescent="0.25">
      <c r="A72" s="24"/>
      <c r="B72" s="264"/>
      <c r="C72" s="262"/>
      <c r="D72" s="54" t="s">
        <v>593</v>
      </c>
    </row>
    <row r="73" spans="1:4" x14ac:dyDescent="0.25">
      <c r="A73" s="24"/>
      <c r="B73" s="256"/>
      <c r="C73" s="263"/>
      <c r="D73" s="54" t="s">
        <v>594</v>
      </c>
    </row>
    <row r="74" spans="1:4" x14ac:dyDescent="0.25">
      <c r="A74" s="24" t="s">
        <v>597</v>
      </c>
      <c r="B74" s="25">
        <v>45819</v>
      </c>
      <c r="C74" s="24" t="s">
        <v>591</v>
      </c>
      <c r="D74" s="24" t="s">
        <v>598</v>
      </c>
    </row>
    <row r="75" spans="1:4" x14ac:dyDescent="0.25">
      <c r="A75" s="24" t="s">
        <v>610</v>
      </c>
      <c r="B75" s="25">
        <v>45833</v>
      </c>
      <c r="C75" s="24" t="s">
        <v>591</v>
      </c>
      <c r="D75" s="24" t="s">
        <v>611</v>
      </c>
    </row>
    <row r="76" spans="1:4" x14ac:dyDescent="0.25">
      <c r="A76" s="24"/>
      <c r="B76" s="24"/>
      <c r="C76" s="24"/>
      <c r="D76" s="24" t="s">
        <v>612</v>
      </c>
    </row>
    <row r="77" spans="1:4" x14ac:dyDescent="0.25">
      <c r="A77" s="24"/>
      <c r="B77" s="24"/>
      <c r="C77" s="24"/>
      <c r="D77" s="24" t="s">
        <v>613</v>
      </c>
    </row>
    <row r="78" spans="1:4" x14ac:dyDescent="0.25">
      <c r="A78" s="24" t="s">
        <v>614</v>
      </c>
      <c r="B78" s="24" t="s">
        <v>614</v>
      </c>
      <c r="C78" s="24" t="s">
        <v>615</v>
      </c>
      <c r="D78" s="24" t="s">
        <v>616</v>
      </c>
    </row>
    <row r="79" spans="1:4" x14ac:dyDescent="0.25">
      <c r="A79" s="24" t="s">
        <v>614</v>
      </c>
      <c r="B79" s="24" t="s">
        <v>614</v>
      </c>
      <c r="C79" s="24" t="s">
        <v>543</v>
      </c>
      <c r="D79" s="24" t="s">
        <v>617</v>
      </c>
    </row>
    <row r="80" spans="1:4" x14ac:dyDescent="0.25">
      <c r="A80" s="24" t="s">
        <v>620</v>
      </c>
      <c r="B80" s="65">
        <v>45888</v>
      </c>
      <c r="C80" s="24" t="s">
        <v>591</v>
      </c>
      <c r="D80" s="31" t="s">
        <v>621</v>
      </c>
    </row>
    <row r="81" spans="1:4" x14ac:dyDescent="0.25">
      <c r="D81" s="26" t="s">
        <v>622</v>
      </c>
    </row>
    <row r="82" spans="1:4" x14ac:dyDescent="0.25">
      <c r="A82" s="246">
        <v>45910</v>
      </c>
      <c r="B82" s="65">
        <v>45910</v>
      </c>
      <c r="C82" s="243" t="s">
        <v>543</v>
      </c>
      <c r="D82" s="24" t="s">
        <v>624</v>
      </c>
    </row>
    <row r="83" spans="1:4" x14ac:dyDescent="0.25">
      <c r="A83" s="17" t="s">
        <v>981</v>
      </c>
      <c r="B83" s="244">
        <v>45985</v>
      </c>
      <c r="C83" s="16" t="s">
        <v>591</v>
      </c>
      <c r="D83" s="24" t="s">
        <v>990</v>
      </c>
    </row>
    <row r="84" spans="1:4" x14ac:dyDescent="0.25">
      <c r="A84" s="245" t="s">
        <v>988</v>
      </c>
      <c r="B84" s="65">
        <v>46048</v>
      </c>
      <c r="C84" s="243" t="s">
        <v>591</v>
      </c>
      <c r="D84" s="243" t="s">
        <v>989</v>
      </c>
    </row>
  </sheetData>
  <mergeCells count="6">
    <mergeCell ref="A13:A22"/>
    <mergeCell ref="B69:B70"/>
    <mergeCell ref="C69:C70"/>
    <mergeCell ref="A69:A70"/>
    <mergeCell ref="C71:C73"/>
    <mergeCell ref="B71:B73"/>
  </mergeCells>
  <hyperlinks>
    <hyperlink ref="D53" location="'TO SIT'!A1" display="Update Test Case: ONE-HUB-GF-20" xr:uid="{28FA0E3D-3E29-412F-994A-EE39B11BDAFA}"/>
    <hyperlink ref="D55" location="'TO SIT'!A1" display="NBAB in SIT updates" xr:uid="{CA5A30EE-CC60-461D-B1B4-5D5BF7C419AA}"/>
    <hyperlink ref="D56" location="'Showroom Page'!A1" display="S128 Technical Data Section updated" xr:uid="{6DC01FAF-53E1-45A1-9971-C3B3985DEC61}"/>
    <hyperlink ref="D59" location="'Showroom Page'!A1" display="Added S135, S137, S138  Sections to the Showroom" xr:uid="{B8C8264A-B7A9-41BA-9700-4BF3CB6F758F}"/>
    <hyperlink ref="D60" location="XFs!A1" display="XF: add Content Slider XF" xr:uid="{FA775007-8EC0-4D95-9E48-586039B01FD6}"/>
    <hyperlink ref="D61" location="'Showroom Page'!A1" display="Added S138 Scrollingteil Section" xr:uid="{D5815278-5A82-4E1C-B7FF-7859BB1EBEF3}"/>
    <hyperlink ref="D67" location="'TO SIT'!A1" display="Updates SIT: add Integrator Template with Forms D6, updates NBAB A/B Testing" xr:uid="{D9207911-9147-45EB-90E9-CA14A1181F83}"/>
    <hyperlink ref="D68" location="'TO SIT'!A1" display="add URL Mapping for to SIT: One-HUB-GF-27" xr:uid="{565D96D4-6B11-4E0B-B93A-4B296E99506B}"/>
    <hyperlink ref="D69" location="'Showroom Page'!A1" display="add checkpoint to S128 that the CTD FA can be opened with CTA" xr:uid="{F21732C6-39BD-4CD9-AF13-C3BD4CD1109E}"/>
    <hyperlink ref="D70" location="DAM!A1" display="Added checkpoint with checking unpublished assets in author node " xr:uid="{481B96C8-FD11-4BA1-9C42-D65733FF8545}"/>
    <hyperlink ref="D72" location="XFs!A1" display="Added checkpoint for advanced disclaimer" xr:uid="{7693B388-EFF3-4708-BDD4-DDC15B683E65}"/>
    <hyperlink ref="D71" location="'TO SIT'!A1" display="Added checkpoint for Glossary Section " xr:uid="{3E8AFF89-E9A6-4887-8439-3CA4CE5B1DE4}"/>
    <hyperlink ref="D73" location="'TO SIT'!A1" display="Removed Integrator Template checkpoints in to sit" xr:uid="{B90A0174-C246-41F4-8E53-86A40BBC1B82}"/>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Q46"/>
  <sheetViews>
    <sheetView showGridLines="0" topLeftCell="A29" zoomScaleNormal="100" workbookViewId="0">
      <selection activeCell="D28" sqref="D28"/>
    </sheetView>
  </sheetViews>
  <sheetFormatPr defaultColWidth="8.7109375" defaultRowHeight="15" x14ac:dyDescent="0.25"/>
  <cols>
    <col min="1" max="1" width="13.5703125" customWidth="1"/>
    <col min="2" max="2" width="12.5703125" customWidth="1"/>
    <col min="3" max="3" width="23.5703125" customWidth="1"/>
    <col min="4" max="4" width="29.7109375" customWidth="1"/>
    <col min="5" max="5" width="23" customWidth="1"/>
  </cols>
  <sheetData>
    <row r="1" spans="1:13" x14ac:dyDescent="0.25">
      <c r="A1" s="17" t="s">
        <v>75</v>
      </c>
      <c r="E1" s="15" t="s">
        <v>76</v>
      </c>
    </row>
    <row r="2" spans="1:13" x14ac:dyDescent="0.25">
      <c r="A2" s="14" t="s">
        <v>77</v>
      </c>
      <c r="E2" s="20">
        <v>0.8</v>
      </c>
    </row>
    <row r="3" spans="1:13" x14ac:dyDescent="0.25">
      <c r="A3" s="19" t="s">
        <v>78</v>
      </c>
      <c r="B3" s="11"/>
      <c r="C3" s="11"/>
      <c r="D3" s="11"/>
      <c r="E3" s="18">
        <v>0.2</v>
      </c>
    </row>
    <row r="6" spans="1:13" x14ac:dyDescent="0.25">
      <c r="A6" s="17" t="s">
        <v>79</v>
      </c>
      <c r="B6" s="16"/>
      <c r="C6" s="16"/>
      <c r="D6" s="15"/>
    </row>
    <row r="7" spans="1:13" x14ac:dyDescent="0.25">
      <c r="A7" s="14"/>
      <c r="D7" s="13"/>
    </row>
    <row r="8" spans="1:13" x14ac:dyDescent="0.25">
      <c r="A8" s="12"/>
      <c r="B8" s="11"/>
      <c r="C8" s="11"/>
      <c r="D8" s="10"/>
    </row>
    <row r="9" spans="1:13" x14ac:dyDescent="0.25">
      <c r="A9" s="8"/>
    </row>
    <row r="10" spans="1:13" x14ac:dyDescent="0.25">
      <c r="A10" s="9" t="s">
        <v>80</v>
      </c>
    </row>
    <row r="11" spans="1:13" x14ac:dyDescent="0.25">
      <c r="A11" s="8"/>
    </row>
    <row r="12" spans="1:13" x14ac:dyDescent="0.25">
      <c r="A12" s="2" t="s">
        <v>81</v>
      </c>
    </row>
    <row r="13" spans="1:13" x14ac:dyDescent="0.25">
      <c r="A13" s="2" t="s">
        <v>82</v>
      </c>
    </row>
    <row r="14" spans="1:13" ht="58.15" customHeight="1" x14ac:dyDescent="0.25">
      <c r="B14" s="7" t="s">
        <v>83</v>
      </c>
      <c r="I14" s="265"/>
      <c r="J14" s="265"/>
      <c r="K14" s="266"/>
      <c r="L14" s="265"/>
      <c r="M14" s="1"/>
    </row>
    <row r="15" spans="1:13" x14ac:dyDescent="0.25">
      <c r="B15" s="21"/>
      <c r="C15" s="4" t="s">
        <v>84</v>
      </c>
      <c r="I15" s="265"/>
      <c r="J15" s="265"/>
      <c r="K15" s="266"/>
      <c r="L15" s="265"/>
      <c r="M15" s="1"/>
    </row>
    <row r="16" spans="1:13" x14ac:dyDescent="0.25">
      <c r="B16" s="21"/>
      <c r="C16" s="21"/>
      <c r="D16" s="3" t="s">
        <v>85</v>
      </c>
    </row>
    <row r="17" spans="1:17" x14ac:dyDescent="0.25">
      <c r="C17" s="6" t="s">
        <v>86</v>
      </c>
    </row>
    <row r="18" spans="1:17" x14ac:dyDescent="0.25">
      <c r="C18" s="21"/>
      <c r="D18" s="6" t="s">
        <v>87</v>
      </c>
      <c r="E18" s="6" t="s">
        <v>88</v>
      </c>
    </row>
    <row r="19" spans="1:17" x14ac:dyDescent="0.25">
      <c r="C19" s="21"/>
      <c r="D19" s="6" t="s">
        <v>85</v>
      </c>
    </row>
    <row r="20" spans="1:17" x14ac:dyDescent="0.25">
      <c r="C20" s="21"/>
      <c r="D20" s="6" t="s">
        <v>89</v>
      </c>
    </row>
    <row r="21" spans="1:17" x14ac:dyDescent="0.25">
      <c r="C21" s="21"/>
      <c r="D21" s="6" t="s">
        <v>88</v>
      </c>
    </row>
    <row r="22" spans="1:17" x14ac:dyDescent="0.25">
      <c r="C22" s="5" t="s">
        <v>88</v>
      </c>
      <c r="D22" s="5" t="s">
        <v>90</v>
      </c>
    </row>
    <row r="23" spans="1:17" x14ac:dyDescent="0.25">
      <c r="A23" s="8"/>
      <c r="D23" s="5" t="s">
        <v>91</v>
      </c>
    </row>
    <row r="24" spans="1:17" x14ac:dyDescent="0.25">
      <c r="D24" s="5" t="s">
        <v>92</v>
      </c>
    </row>
    <row r="25" spans="1:17" x14ac:dyDescent="0.25">
      <c r="D25" s="5" t="s">
        <v>93</v>
      </c>
    </row>
    <row r="26" spans="1:17" x14ac:dyDescent="0.25">
      <c r="C26" s="22" t="s">
        <v>90</v>
      </c>
    </row>
    <row r="27" spans="1:17" x14ac:dyDescent="0.25">
      <c r="D27" s="22" t="s">
        <v>94</v>
      </c>
    </row>
    <row r="28" spans="1:17" x14ac:dyDescent="0.25">
      <c r="D28" s="22" t="s">
        <v>95</v>
      </c>
    </row>
    <row r="30" spans="1:17" x14ac:dyDescent="0.25">
      <c r="J30" s="8"/>
    </row>
    <row r="31" spans="1:17" x14ac:dyDescent="0.25">
      <c r="O31" s="23" t="s">
        <v>96</v>
      </c>
      <c r="P31" s="23"/>
      <c r="Q31" s="23"/>
    </row>
    <row r="32" spans="1:17" x14ac:dyDescent="0.25">
      <c r="O32" s="23" t="s">
        <v>97</v>
      </c>
      <c r="P32" s="23"/>
      <c r="Q32" s="23"/>
    </row>
    <row r="33" spans="15:17" x14ac:dyDescent="0.25">
      <c r="O33" s="23" t="s">
        <v>98</v>
      </c>
      <c r="P33" s="23"/>
      <c r="Q33" s="23"/>
    </row>
    <row r="34" spans="15:17" x14ac:dyDescent="0.25">
      <c r="O34" s="23" t="s">
        <v>99</v>
      </c>
      <c r="P34" s="23"/>
      <c r="Q34" s="23"/>
    </row>
    <row r="35" spans="15:17" x14ac:dyDescent="0.25">
      <c r="O35" s="23" t="s">
        <v>100</v>
      </c>
      <c r="P35" s="23"/>
      <c r="Q35" s="23"/>
    </row>
    <row r="36" spans="15:17" x14ac:dyDescent="0.25">
      <c r="O36" s="23" t="s">
        <v>101</v>
      </c>
      <c r="P36" s="23"/>
      <c r="Q36" s="23"/>
    </row>
    <row r="41" spans="15:17" x14ac:dyDescent="0.25">
      <c r="O41" t="s">
        <v>95</v>
      </c>
    </row>
    <row r="42" spans="15:17" x14ac:dyDescent="0.25">
      <c r="O42" t="s">
        <v>90</v>
      </c>
    </row>
    <row r="43" spans="15:17" x14ac:dyDescent="0.25">
      <c r="O43" t="s">
        <v>102</v>
      </c>
    </row>
    <row r="44" spans="15:17" x14ac:dyDescent="0.25">
      <c r="O44" t="s">
        <v>103</v>
      </c>
    </row>
    <row r="45" spans="15:17" x14ac:dyDescent="0.25">
      <c r="O45" t="s">
        <v>90</v>
      </c>
    </row>
    <row r="46" spans="15:17" x14ac:dyDescent="0.25">
      <c r="O46" t="s">
        <v>104</v>
      </c>
    </row>
  </sheetData>
  <mergeCells count="4">
    <mergeCell ref="I14:I15"/>
    <mergeCell ref="J14:J15"/>
    <mergeCell ref="K14:K15"/>
    <mergeCell ref="L14:L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FB06-994D-495D-904C-75A49DC6D719}">
  <dimension ref="A1:D12"/>
  <sheetViews>
    <sheetView workbookViewId="0">
      <selection activeCell="F17" sqref="F17"/>
    </sheetView>
  </sheetViews>
  <sheetFormatPr defaultColWidth="11.42578125" defaultRowHeight="15" x14ac:dyDescent="0.25"/>
  <cols>
    <col min="1" max="1" width="23.85546875" customWidth="1"/>
    <col min="2" max="2" width="14.28515625" bestFit="1" customWidth="1"/>
    <col min="3" max="3" width="16.85546875" bestFit="1" customWidth="1"/>
    <col min="4" max="4" width="24.42578125" customWidth="1"/>
  </cols>
  <sheetData>
    <row r="1" spans="1:4" x14ac:dyDescent="0.25">
      <c r="A1" t="s">
        <v>973</v>
      </c>
      <c r="B1" t="s">
        <v>974</v>
      </c>
      <c r="C1" t="s">
        <v>975</v>
      </c>
      <c r="D1" t="s">
        <v>976</v>
      </c>
    </row>
    <row r="2" spans="1:4" x14ac:dyDescent="0.25">
      <c r="A2" t="s">
        <v>96</v>
      </c>
      <c r="B2">
        <f t="shared" ref="B2:B11" ca="1" si="0">COUNTIF(INDIRECT("'" &amp; A2 &amp; "'!A" &amp;(MATCH("Checkpoint",INDIRECT("'" &amp; A2 &amp; "'!A:A"),0)+1)&amp; ":A1000"),"?*")</f>
        <v>51</v>
      </c>
      <c r="C2">
        <f t="shared" ref="C2:C3" ca="1" si="1">COUNTIF(INDIRECT("'" &amp; A2 &amp; "'!G:G"),"*Completed*")</f>
        <v>48</v>
      </c>
      <c r="D2" s="238">
        <f t="shared" ref="D2:D11" ca="1" si="2">C2/B2</f>
        <v>0.94117647058823528</v>
      </c>
    </row>
    <row r="3" spans="1:4" x14ac:dyDescent="0.25">
      <c r="A3" t="s">
        <v>100</v>
      </c>
      <c r="B3">
        <f t="shared" ca="1" si="0"/>
        <v>75</v>
      </c>
      <c r="C3">
        <f t="shared" ca="1" si="1"/>
        <v>73</v>
      </c>
      <c r="D3" s="238">
        <f t="shared" ca="1" si="2"/>
        <v>0.97333333333333338</v>
      </c>
    </row>
    <row r="4" spans="1:4" x14ac:dyDescent="0.25">
      <c r="A4" t="s">
        <v>98</v>
      </c>
      <c r="B4">
        <f t="shared" ca="1" si="0"/>
        <v>51</v>
      </c>
      <c r="C4">
        <f t="shared" ref="C4:C11" ca="1" si="3">COUNTIF(INDIRECT("'" &amp; A4 &amp; "'!G:G"),"*Completed*")</f>
        <v>50</v>
      </c>
      <c r="D4" s="238">
        <f t="shared" ca="1" si="2"/>
        <v>0.98039215686274506</v>
      </c>
    </row>
    <row r="5" spans="1:4" x14ac:dyDescent="0.25">
      <c r="A5" t="s">
        <v>97</v>
      </c>
      <c r="B5">
        <f t="shared" ca="1" si="0"/>
        <v>61</v>
      </c>
      <c r="C5">
        <f t="shared" ca="1" si="3"/>
        <v>60</v>
      </c>
      <c r="D5" s="238">
        <f t="shared" ca="1" si="2"/>
        <v>0.98360655737704916</v>
      </c>
    </row>
    <row r="6" spans="1:4" x14ac:dyDescent="0.25">
      <c r="A6" t="s">
        <v>99</v>
      </c>
      <c r="B6">
        <f t="shared" ca="1" si="0"/>
        <v>1</v>
      </c>
      <c r="C6">
        <f t="shared" ca="1" si="3"/>
        <v>0</v>
      </c>
      <c r="D6" s="238">
        <f t="shared" ca="1" si="2"/>
        <v>0</v>
      </c>
    </row>
    <row r="7" spans="1:4" x14ac:dyDescent="0.25">
      <c r="A7" t="s">
        <v>104</v>
      </c>
      <c r="B7">
        <f t="shared" ca="1" si="0"/>
        <v>3</v>
      </c>
      <c r="C7">
        <f t="shared" ca="1" si="3"/>
        <v>3</v>
      </c>
      <c r="D7" s="238">
        <f t="shared" ca="1" si="2"/>
        <v>1</v>
      </c>
    </row>
    <row r="8" spans="1:4" x14ac:dyDescent="0.25">
      <c r="A8" t="s">
        <v>978</v>
      </c>
      <c r="B8">
        <f t="shared" ca="1" si="0"/>
        <v>4</v>
      </c>
      <c r="C8">
        <f t="shared" ca="1" si="3"/>
        <v>0</v>
      </c>
      <c r="D8" s="238">
        <f t="shared" ca="1" si="2"/>
        <v>0</v>
      </c>
    </row>
    <row r="9" spans="1:4" x14ac:dyDescent="0.25">
      <c r="A9" t="s">
        <v>101</v>
      </c>
      <c r="B9">
        <f t="shared" ca="1" si="0"/>
        <v>10</v>
      </c>
      <c r="C9">
        <f t="shared" ca="1" si="3"/>
        <v>9</v>
      </c>
      <c r="D9" s="238">
        <f t="shared" ca="1" si="2"/>
        <v>0.9</v>
      </c>
    </row>
    <row r="10" spans="1:4" x14ac:dyDescent="0.25">
      <c r="A10" t="s">
        <v>979</v>
      </c>
      <c r="B10">
        <f t="shared" ca="1" si="0"/>
        <v>33</v>
      </c>
      <c r="C10">
        <f t="shared" ca="1" si="3"/>
        <v>24</v>
      </c>
      <c r="D10" s="238">
        <f t="shared" ca="1" si="2"/>
        <v>0.72727272727272729</v>
      </c>
    </row>
    <row r="11" spans="1:4" x14ac:dyDescent="0.25">
      <c r="A11" t="s">
        <v>980</v>
      </c>
      <c r="B11">
        <f t="shared" ca="1" si="0"/>
        <v>28</v>
      </c>
      <c r="C11">
        <f t="shared" ca="1" si="3"/>
        <v>19</v>
      </c>
      <c r="D11" s="238">
        <f t="shared" ca="1" si="2"/>
        <v>0.6785714285714286</v>
      </c>
    </row>
    <row r="12" spans="1:4" x14ac:dyDescent="0.25">
      <c r="A12" t="s">
        <v>977</v>
      </c>
      <c r="B12">
        <f ca="1">SUBTOTAL(109,Tabelle2['#Checkpoint])</f>
        <v>317</v>
      </c>
      <c r="C12">
        <f ca="1">SUBTOTAL(109,Tabelle2['#TA Completed])</f>
        <v>286</v>
      </c>
      <c r="D12" s="238">
        <f ca="1">Tabelle2[[#Totals],['#TA Completed]]/Tabelle2[[#Totals],['#Checkpoint]]</f>
        <v>0.90220820189274453</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2C20-C883-4240-84F1-09AB54E221E1}">
  <dimension ref="A1:U54"/>
  <sheetViews>
    <sheetView zoomScale="85" zoomScaleNormal="85" workbookViewId="0">
      <selection activeCell="D4" sqref="D4"/>
    </sheetView>
  </sheetViews>
  <sheetFormatPr defaultColWidth="10.85546875" defaultRowHeight="16.5" x14ac:dyDescent="0.3"/>
  <cols>
    <col min="1" max="1" width="16.7109375" style="66" customWidth="1"/>
    <col min="2" max="2" width="14.85546875" style="66" customWidth="1"/>
    <col min="3" max="3" width="31.85546875" style="66" customWidth="1"/>
    <col min="4" max="4" width="68.7109375" style="66" customWidth="1"/>
    <col min="5" max="5" width="42" style="66" customWidth="1"/>
    <col min="6" max="6" width="10.85546875" style="76"/>
    <col min="7" max="7" width="26" style="76" customWidth="1"/>
    <col min="8" max="8" width="12.85546875" style="66" customWidth="1"/>
    <col min="9" max="9" width="23.28515625" style="66" customWidth="1"/>
    <col min="10" max="10" width="10.85546875" style="66"/>
    <col min="11" max="11" width="29.140625" style="76" bestFit="1" customWidth="1"/>
    <col min="12" max="12" width="23.28515625" style="76" bestFit="1" customWidth="1"/>
    <col min="13" max="13" width="24.140625" style="76" bestFit="1" customWidth="1"/>
    <col min="14" max="14" width="36.7109375" style="76" bestFit="1" customWidth="1"/>
    <col min="15" max="15" width="34.42578125" style="76" bestFit="1" customWidth="1"/>
    <col min="16" max="16" width="31.7109375" style="76" bestFit="1" customWidth="1"/>
    <col min="17" max="17" width="25.140625" style="76" bestFit="1" customWidth="1"/>
    <col min="18" max="18" width="30.5703125" style="76" bestFit="1" customWidth="1"/>
    <col min="19" max="19" width="22.28515625" style="76" bestFit="1" customWidth="1"/>
    <col min="20" max="20" width="21.28515625" style="66" bestFit="1" customWidth="1"/>
    <col min="21" max="21" width="25.5703125" style="66" bestFit="1" customWidth="1"/>
    <col min="22" max="16384" width="10.85546875" style="66"/>
  </cols>
  <sheetData>
    <row r="1" spans="1:21" ht="63" customHeight="1" x14ac:dyDescent="0.3">
      <c r="A1" s="247" t="s">
        <v>991</v>
      </c>
      <c r="B1" s="247"/>
      <c r="C1" s="247"/>
      <c r="D1" s="247"/>
      <c r="E1" s="247"/>
      <c r="F1" s="247"/>
      <c r="G1" s="247"/>
      <c r="H1" s="247"/>
      <c r="I1" s="247"/>
      <c r="J1" s="250"/>
      <c r="K1" s="250"/>
      <c r="L1" s="250"/>
      <c r="M1" s="250"/>
      <c r="N1" s="250"/>
      <c r="O1" s="250"/>
      <c r="P1" s="250"/>
      <c r="Q1" s="250"/>
      <c r="R1" s="250"/>
      <c r="S1" s="250"/>
      <c r="T1" s="250"/>
      <c r="U1" s="251"/>
    </row>
    <row r="2" spans="1:21" ht="17.25" x14ac:dyDescent="0.3">
      <c r="A2" s="248" t="s">
        <v>631</v>
      </c>
      <c r="B2" s="249"/>
      <c r="C2" s="249"/>
      <c r="D2" s="249"/>
      <c r="E2" s="249"/>
      <c r="F2" s="77"/>
      <c r="G2" s="77"/>
      <c r="H2" s="78"/>
      <c r="I2" s="79"/>
      <c r="J2" s="252"/>
      <c r="K2" s="252"/>
      <c r="L2" s="252"/>
      <c r="M2" s="252"/>
      <c r="N2" s="252"/>
      <c r="O2" s="252"/>
      <c r="P2" s="252"/>
      <c r="Q2" s="252"/>
      <c r="R2" s="252"/>
      <c r="S2" s="252"/>
      <c r="T2" s="252"/>
      <c r="U2" s="253"/>
    </row>
    <row r="3" spans="1:21" ht="54.6" customHeight="1" x14ac:dyDescent="0.3">
      <c r="A3" s="102" t="s">
        <v>105</v>
      </c>
      <c r="B3" s="67" t="s">
        <v>106</v>
      </c>
      <c r="C3" s="67" t="s">
        <v>107</v>
      </c>
      <c r="D3" s="67" t="s">
        <v>625</v>
      </c>
      <c r="E3" s="67" t="s">
        <v>626</v>
      </c>
      <c r="F3" s="67" t="s">
        <v>108</v>
      </c>
      <c r="G3" s="67" t="s">
        <v>109</v>
      </c>
      <c r="H3" s="67" t="s">
        <v>468</v>
      </c>
      <c r="I3" s="67" t="s">
        <v>627</v>
      </c>
      <c r="J3" s="67" t="s">
        <v>628</v>
      </c>
      <c r="K3" s="236" t="s">
        <v>692</v>
      </c>
      <c r="L3" s="68" t="s">
        <v>693</v>
      </c>
      <c r="M3" s="68" t="s">
        <v>699</v>
      </c>
      <c r="N3" s="68" t="s">
        <v>696</v>
      </c>
      <c r="O3" s="68" t="s">
        <v>694</v>
      </c>
      <c r="P3" s="68" t="s">
        <v>695</v>
      </c>
      <c r="Q3" s="68" t="s">
        <v>697</v>
      </c>
      <c r="R3" s="68" t="s">
        <v>698</v>
      </c>
      <c r="S3" s="68" t="s">
        <v>629</v>
      </c>
      <c r="T3" s="99" t="s">
        <v>110</v>
      </c>
      <c r="U3" s="100" t="s">
        <v>111</v>
      </c>
    </row>
    <row r="4" spans="1:21" ht="99" x14ac:dyDescent="0.3">
      <c r="A4" s="80" t="s">
        <v>112</v>
      </c>
      <c r="B4" s="70" t="s">
        <v>113</v>
      </c>
      <c r="C4" s="69" t="s">
        <v>618</v>
      </c>
      <c r="D4" s="70" t="s">
        <v>632</v>
      </c>
      <c r="E4" s="69" t="s">
        <v>633</v>
      </c>
      <c r="F4" s="81" t="s">
        <v>115</v>
      </c>
      <c r="G4" s="82" t="s">
        <v>116</v>
      </c>
      <c r="H4" s="83"/>
      <c r="I4" s="83"/>
      <c r="J4" s="84"/>
      <c r="K4" s="84"/>
      <c r="L4" s="84"/>
      <c r="M4" s="84"/>
      <c r="N4" s="84"/>
      <c r="O4" s="84"/>
      <c r="P4" s="84"/>
      <c r="Q4" s="83" t="s">
        <v>537</v>
      </c>
      <c r="R4" s="83"/>
      <c r="S4" s="83" t="s">
        <v>537</v>
      </c>
      <c r="T4" s="83"/>
      <c r="U4" s="85"/>
    </row>
    <row r="5" spans="1:21" ht="99" x14ac:dyDescent="0.3">
      <c r="A5" s="80" t="s">
        <v>119</v>
      </c>
      <c r="B5" s="70" t="s">
        <v>113</v>
      </c>
      <c r="C5" s="69" t="s">
        <v>120</v>
      </c>
      <c r="D5" s="70" t="s">
        <v>634</v>
      </c>
      <c r="E5" s="69" t="s">
        <v>635</v>
      </c>
      <c r="F5" s="81" t="s">
        <v>115</v>
      </c>
      <c r="G5" s="82" t="s">
        <v>116</v>
      </c>
      <c r="H5" s="70"/>
      <c r="I5" s="70"/>
      <c r="J5" s="86"/>
      <c r="K5" s="84"/>
      <c r="L5" s="84"/>
      <c r="M5" s="84"/>
      <c r="N5" s="84"/>
      <c r="O5" s="84"/>
      <c r="P5" s="84"/>
      <c r="Q5" s="83" t="s">
        <v>537</v>
      </c>
      <c r="R5" s="83"/>
      <c r="S5" s="83" t="s">
        <v>537</v>
      </c>
      <c r="T5" s="87"/>
      <c r="U5" s="88"/>
    </row>
    <row r="6" spans="1:21" ht="180.6" customHeight="1" x14ac:dyDescent="0.3">
      <c r="A6" s="80" t="s">
        <v>123</v>
      </c>
      <c r="B6" s="70" t="s">
        <v>113</v>
      </c>
      <c r="C6" s="69" t="s">
        <v>124</v>
      </c>
      <c r="D6" s="70" t="s">
        <v>636</v>
      </c>
      <c r="E6" s="69" t="s">
        <v>637</v>
      </c>
      <c r="F6" s="81" t="s">
        <v>115</v>
      </c>
      <c r="G6" s="82" t="s">
        <v>116</v>
      </c>
      <c r="H6" s="70"/>
      <c r="I6" s="70"/>
      <c r="J6" s="86"/>
      <c r="K6" s="84"/>
      <c r="L6" s="84"/>
      <c r="M6" s="84"/>
      <c r="N6" s="84"/>
      <c r="O6" s="84"/>
      <c r="P6" s="84"/>
      <c r="Q6" s="83" t="s">
        <v>537</v>
      </c>
      <c r="R6" s="83"/>
      <c r="S6" s="83" t="s">
        <v>537</v>
      </c>
      <c r="T6" s="87"/>
      <c r="U6" s="88"/>
    </row>
    <row r="7" spans="1:21" ht="49.5" x14ac:dyDescent="0.3">
      <c r="A7" s="80" t="s">
        <v>128</v>
      </c>
      <c r="B7" s="70" t="s">
        <v>113</v>
      </c>
      <c r="C7" s="69" t="s">
        <v>125</v>
      </c>
      <c r="D7" s="70" t="s">
        <v>638</v>
      </c>
      <c r="E7" s="69" t="s">
        <v>639</v>
      </c>
      <c r="F7" s="81" t="s">
        <v>115</v>
      </c>
      <c r="G7" s="89" t="s">
        <v>116</v>
      </c>
      <c r="H7" s="70"/>
      <c r="I7" s="70"/>
      <c r="J7" s="86"/>
      <c r="K7" s="84"/>
      <c r="L7" s="84"/>
      <c r="M7" s="84"/>
      <c r="N7" s="84"/>
      <c r="O7" s="84"/>
      <c r="P7" s="84"/>
      <c r="Q7" s="83" t="s">
        <v>537</v>
      </c>
      <c r="R7" s="83"/>
      <c r="S7" s="83" t="s">
        <v>537</v>
      </c>
      <c r="T7" s="87"/>
      <c r="U7" s="88"/>
    </row>
    <row r="8" spans="1:21" ht="66" x14ac:dyDescent="0.3">
      <c r="A8" s="80" t="s">
        <v>130</v>
      </c>
      <c r="B8" s="70" t="s">
        <v>113</v>
      </c>
      <c r="C8" s="69" t="s">
        <v>126</v>
      </c>
      <c r="D8" s="70" t="s">
        <v>640</v>
      </c>
      <c r="E8" s="69" t="s">
        <v>641</v>
      </c>
      <c r="F8" s="81" t="s">
        <v>115</v>
      </c>
      <c r="G8" s="81" t="s">
        <v>134</v>
      </c>
      <c r="H8" s="70"/>
      <c r="I8" s="70"/>
      <c r="J8" s="86"/>
      <c r="K8" s="84"/>
      <c r="L8" s="84"/>
      <c r="M8" s="84"/>
      <c r="N8" s="84"/>
      <c r="O8" s="84"/>
      <c r="P8" s="84"/>
      <c r="Q8" s="83" t="s">
        <v>537</v>
      </c>
      <c r="R8" s="83"/>
      <c r="S8" s="83" t="s">
        <v>537</v>
      </c>
      <c r="T8" s="87"/>
      <c r="U8" s="88"/>
    </row>
    <row r="9" spans="1:21" ht="115.5" x14ac:dyDescent="0.3">
      <c r="A9" s="80" t="s">
        <v>132</v>
      </c>
      <c r="B9" s="70" t="s">
        <v>113</v>
      </c>
      <c r="C9" s="69" t="s">
        <v>133</v>
      </c>
      <c r="D9" s="70" t="s">
        <v>642</v>
      </c>
      <c r="E9" s="69" t="s">
        <v>643</v>
      </c>
      <c r="F9" s="81" t="s">
        <v>115</v>
      </c>
      <c r="G9" s="82" t="s">
        <v>134</v>
      </c>
      <c r="H9" s="70"/>
      <c r="I9" s="70"/>
      <c r="J9" s="86"/>
      <c r="K9" s="84"/>
      <c r="L9" s="84"/>
      <c r="M9" s="84"/>
      <c r="N9" s="84"/>
      <c r="O9" s="84"/>
      <c r="P9" s="84"/>
      <c r="Q9" s="83" t="s">
        <v>537</v>
      </c>
      <c r="R9" s="83"/>
      <c r="S9" s="83" t="s">
        <v>537</v>
      </c>
      <c r="T9" s="87"/>
      <c r="U9" s="88"/>
    </row>
    <row r="10" spans="1:21" ht="132" x14ac:dyDescent="0.3">
      <c r="A10" s="80" t="s">
        <v>135</v>
      </c>
      <c r="B10" s="70" t="s">
        <v>113</v>
      </c>
      <c r="C10" s="69" t="s">
        <v>136</v>
      </c>
      <c r="D10" s="70" t="s">
        <v>644</v>
      </c>
      <c r="E10" s="69" t="s">
        <v>645</v>
      </c>
      <c r="F10" s="81" t="s">
        <v>115</v>
      </c>
      <c r="G10" s="81" t="s">
        <v>134</v>
      </c>
      <c r="H10" s="70"/>
      <c r="I10" s="70"/>
      <c r="J10" s="86"/>
      <c r="K10" s="84"/>
      <c r="L10" s="84"/>
      <c r="M10" s="84"/>
      <c r="N10" s="84"/>
      <c r="O10" s="84"/>
      <c r="P10" s="84"/>
      <c r="Q10" s="83" t="s">
        <v>537</v>
      </c>
      <c r="R10" s="83"/>
      <c r="S10" s="83" t="s">
        <v>537</v>
      </c>
      <c r="T10" s="87"/>
      <c r="U10" s="88"/>
    </row>
    <row r="11" spans="1:21" ht="66" x14ac:dyDescent="0.3">
      <c r="A11" s="80" t="s">
        <v>137</v>
      </c>
      <c r="B11" s="70" t="s">
        <v>113</v>
      </c>
      <c r="C11" s="69" t="s">
        <v>138</v>
      </c>
      <c r="D11" s="70" t="s">
        <v>646</v>
      </c>
      <c r="E11" s="69" t="s">
        <v>647</v>
      </c>
      <c r="F11" s="81" t="s">
        <v>115</v>
      </c>
      <c r="G11" s="81" t="s">
        <v>134</v>
      </c>
      <c r="H11" s="70"/>
      <c r="I11" s="70"/>
      <c r="J11" s="86"/>
      <c r="K11" s="84"/>
      <c r="L11" s="84"/>
      <c r="M11" s="84"/>
      <c r="N11" s="84"/>
      <c r="O11" s="84"/>
      <c r="P11" s="84"/>
      <c r="Q11" s="83" t="s">
        <v>537</v>
      </c>
      <c r="R11" s="83"/>
      <c r="S11" s="83" t="s">
        <v>537</v>
      </c>
      <c r="T11" s="87"/>
      <c r="U11" s="88"/>
    </row>
    <row r="12" spans="1:21" ht="297" x14ac:dyDescent="0.3">
      <c r="A12" s="80" t="s">
        <v>140</v>
      </c>
      <c r="B12" s="70" t="s">
        <v>113</v>
      </c>
      <c r="C12" s="69" t="s">
        <v>141</v>
      </c>
      <c r="D12" s="70" t="s">
        <v>648</v>
      </c>
      <c r="E12" s="69" t="s">
        <v>649</v>
      </c>
      <c r="F12" s="81" t="s">
        <v>115</v>
      </c>
      <c r="G12" s="81" t="s">
        <v>134</v>
      </c>
      <c r="H12" s="70"/>
      <c r="I12" s="70"/>
      <c r="J12" s="86"/>
      <c r="K12" s="84"/>
      <c r="L12" s="84"/>
      <c r="M12" s="84"/>
      <c r="N12" s="84"/>
      <c r="O12" s="84"/>
      <c r="P12" s="84"/>
      <c r="Q12" s="83" t="s">
        <v>537</v>
      </c>
      <c r="R12" s="83"/>
      <c r="S12" s="83" t="s">
        <v>537</v>
      </c>
      <c r="T12" s="87"/>
      <c r="U12" s="88"/>
    </row>
    <row r="13" spans="1:21" ht="330" x14ac:dyDescent="0.3">
      <c r="A13" s="80" t="s">
        <v>143</v>
      </c>
      <c r="B13" s="70" t="s">
        <v>113</v>
      </c>
      <c r="C13" s="69" t="s">
        <v>144</v>
      </c>
      <c r="D13" s="70" t="s">
        <v>650</v>
      </c>
      <c r="E13" s="69" t="s">
        <v>651</v>
      </c>
      <c r="F13" s="81" t="s">
        <v>115</v>
      </c>
      <c r="G13" s="81" t="s">
        <v>116</v>
      </c>
      <c r="H13" s="70"/>
      <c r="I13" s="70"/>
      <c r="J13" s="86"/>
      <c r="K13" s="84"/>
      <c r="L13" s="84"/>
      <c r="M13" s="84"/>
      <c r="N13" s="84"/>
      <c r="O13" s="84"/>
      <c r="P13" s="84"/>
      <c r="Q13" s="83" t="s">
        <v>537</v>
      </c>
      <c r="R13" s="83"/>
      <c r="S13" s="83" t="s">
        <v>537</v>
      </c>
      <c r="T13" s="87"/>
      <c r="U13" s="88"/>
    </row>
    <row r="14" spans="1:21" ht="99" x14ac:dyDescent="0.3">
      <c r="A14" s="80" t="s">
        <v>147</v>
      </c>
      <c r="B14" s="70" t="s">
        <v>113</v>
      </c>
      <c r="C14" s="69" t="s">
        <v>619</v>
      </c>
      <c r="D14" s="70" t="s">
        <v>652</v>
      </c>
      <c r="E14" s="69" t="s">
        <v>633</v>
      </c>
      <c r="F14" s="81" t="s">
        <v>115</v>
      </c>
      <c r="G14" s="81" t="s">
        <v>116</v>
      </c>
      <c r="H14" s="70"/>
      <c r="I14" s="70"/>
      <c r="J14" s="86"/>
      <c r="K14" s="84"/>
      <c r="L14" s="84"/>
      <c r="M14" s="84"/>
      <c r="N14" s="84"/>
      <c r="O14" s="84"/>
      <c r="P14" s="84"/>
      <c r="Q14" s="83" t="s">
        <v>537</v>
      </c>
      <c r="R14" s="83"/>
      <c r="S14" s="83" t="s">
        <v>537</v>
      </c>
      <c r="T14" s="87"/>
      <c r="U14" s="88"/>
    </row>
    <row r="15" spans="1:21" ht="99" x14ac:dyDescent="0.3">
      <c r="A15" s="80" t="s">
        <v>148</v>
      </c>
      <c r="B15" s="70" t="s">
        <v>113</v>
      </c>
      <c r="C15" s="69" t="s">
        <v>619</v>
      </c>
      <c r="D15" s="70" t="s">
        <v>653</v>
      </c>
      <c r="E15" s="69" t="s">
        <v>654</v>
      </c>
      <c r="F15" s="81" t="s">
        <v>115</v>
      </c>
      <c r="G15" s="81" t="s">
        <v>116</v>
      </c>
      <c r="H15" s="70"/>
      <c r="I15" s="70"/>
      <c r="J15" s="86"/>
      <c r="K15" s="84"/>
      <c r="L15" s="84"/>
      <c r="M15" s="84"/>
      <c r="N15" s="84"/>
      <c r="O15" s="84"/>
      <c r="P15" s="84"/>
      <c r="Q15" s="83" t="s">
        <v>537</v>
      </c>
      <c r="R15" s="83"/>
      <c r="S15" s="83" t="s">
        <v>537</v>
      </c>
      <c r="T15" s="87"/>
      <c r="U15" s="88"/>
    </row>
    <row r="16" spans="1:21" ht="99" x14ac:dyDescent="0.3">
      <c r="A16" s="80" t="s">
        <v>149</v>
      </c>
      <c r="B16" s="70" t="s">
        <v>113</v>
      </c>
      <c r="C16" s="69" t="s">
        <v>120</v>
      </c>
      <c r="D16" s="70" t="s">
        <v>655</v>
      </c>
      <c r="E16" s="69" t="s">
        <v>635</v>
      </c>
      <c r="F16" s="81" t="s">
        <v>115</v>
      </c>
      <c r="G16" s="81" t="s">
        <v>150</v>
      </c>
      <c r="H16" s="70"/>
      <c r="I16" s="70"/>
      <c r="J16" s="86"/>
      <c r="K16" s="84"/>
      <c r="L16" s="84"/>
      <c r="M16" s="84"/>
      <c r="N16" s="84"/>
      <c r="O16" s="84"/>
      <c r="P16" s="84"/>
      <c r="Q16" s="83" t="s">
        <v>537</v>
      </c>
      <c r="R16" s="83"/>
      <c r="S16" s="83" t="s">
        <v>537</v>
      </c>
      <c r="T16" s="87"/>
      <c r="U16" s="88"/>
    </row>
    <row r="17" spans="1:21" ht="99" x14ac:dyDescent="0.3">
      <c r="A17" s="80" t="s">
        <v>151</v>
      </c>
      <c r="B17" s="70" t="s">
        <v>113</v>
      </c>
      <c r="C17" s="69" t="s">
        <v>120</v>
      </c>
      <c r="D17" s="70" t="s">
        <v>656</v>
      </c>
      <c r="E17" s="69" t="s">
        <v>635</v>
      </c>
      <c r="F17" s="81" t="s">
        <v>115</v>
      </c>
      <c r="G17" s="82" t="s">
        <v>116</v>
      </c>
      <c r="H17" s="70"/>
      <c r="I17" s="70"/>
      <c r="J17" s="86"/>
      <c r="K17" s="84"/>
      <c r="L17" s="84"/>
      <c r="M17" s="84"/>
      <c r="N17" s="84"/>
      <c r="O17" s="84"/>
      <c r="P17" s="84"/>
      <c r="Q17" s="83" t="s">
        <v>537</v>
      </c>
      <c r="R17" s="83"/>
      <c r="S17" s="83" t="s">
        <v>537</v>
      </c>
      <c r="T17" s="87"/>
      <c r="U17" s="88"/>
    </row>
    <row r="18" spans="1:21" ht="165" x14ac:dyDescent="0.3">
      <c r="A18" s="80" t="s">
        <v>152</v>
      </c>
      <c r="B18" s="70" t="s">
        <v>113</v>
      </c>
      <c r="C18" s="69" t="s">
        <v>124</v>
      </c>
      <c r="D18" s="70" t="s">
        <v>657</v>
      </c>
      <c r="E18" s="69" t="s">
        <v>637</v>
      </c>
      <c r="F18" s="81" t="s">
        <v>115</v>
      </c>
      <c r="G18" s="82" t="s">
        <v>116</v>
      </c>
      <c r="H18" s="70"/>
      <c r="I18" s="70"/>
      <c r="J18" s="86"/>
      <c r="K18" s="84"/>
      <c r="L18" s="84"/>
      <c r="M18" s="84"/>
      <c r="N18" s="84"/>
      <c r="O18" s="84"/>
      <c r="P18" s="84"/>
      <c r="Q18" s="83" t="s">
        <v>537</v>
      </c>
      <c r="R18" s="83"/>
      <c r="S18" s="83" t="s">
        <v>537</v>
      </c>
      <c r="T18" s="87"/>
      <c r="U18" s="88"/>
    </row>
    <row r="19" spans="1:21" ht="182.45" customHeight="1" x14ac:dyDescent="0.3">
      <c r="A19" s="80" t="s">
        <v>153</v>
      </c>
      <c r="B19" s="70" t="s">
        <v>113</v>
      </c>
      <c r="C19" s="69" t="s">
        <v>124</v>
      </c>
      <c r="D19" s="70" t="s">
        <v>658</v>
      </c>
      <c r="E19" s="69" t="s">
        <v>637</v>
      </c>
      <c r="F19" s="90" t="s">
        <v>115</v>
      </c>
      <c r="G19" s="82" t="s">
        <v>134</v>
      </c>
      <c r="H19" s="70"/>
      <c r="I19" s="70"/>
      <c r="J19" s="86"/>
      <c r="K19" s="84"/>
      <c r="L19" s="84"/>
      <c r="M19" s="84"/>
      <c r="N19" s="84"/>
      <c r="O19" s="84"/>
      <c r="P19" s="84"/>
      <c r="Q19" s="83" t="s">
        <v>537</v>
      </c>
      <c r="R19" s="83"/>
      <c r="S19" s="83" t="s">
        <v>537</v>
      </c>
      <c r="T19" s="87"/>
      <c r="U19" s="88"/>
    </row>
    <row r="20" spans="1:21" ht="49.5" x14ac:dyDescent="0.3">
      <c r="A20" s="80" t="s">
        <v>154</v>
      </c>
      <c r="B20" s="70" t="s">
        <v>113</v>
      </c>
      <c r="C20" s="69" t="s">
        <v>125</v>
      </c>
      <c r="D20" s="70" t="s">
        <v>659</v>
      </c>
      <c r="E20" s="69" t="s">
        <v>639</v>
      </c>
      <c r="F20" s="81" t="s">
        <v>115</v>
      </c>
      <c r="G20" s="82" t="s">
        <v>116</v>
      </c>
      <c r="H20" s="70"/>
      <c r="I20" s="70"/>
      <c r="J20" s="86"/>
      <c r="K20" s="84"/>
      <c r="L20" s="84"/>
      <c r="M20" s="84"/>
      <c r="N20" s="84"/>
      <c r="O20" s="84"/>
      <c r="P20" s="84"/>
      <c r="Q20" s="83" t="s">
        <v>537</v>
      </c>
      <c r="R20" s="83"/>
      <c r="S20" s="83" t="s">
        <v>537</v>
      </c>
      <c r="T20" s="87"/>
      <c r="U20" s="88"/>
    </row>
    <row r="21" spans="1:21" ht="49.5" x14ac:dyDescent="0.3">
      <c r="A21" s="80" t="s">
        <v>155</v>
      </c>
      <c r="B21" s="70" t="s">
        <v>113</v>
      </c>
      <c r="C21" s="69" t="s">
        <v>125</v>
      </c>
      <c r="D21" s="70" t="s">
        <v>660</v>
      </c>
      <c r="E21" s="69" t="s">
        <v>639</v>
      </c>
      <c r="F21" s="81" t="s">
        <v>115</v>
      </c>
      <c r="G21" s="89" t="s">
        <v>116</v>
      </c>
      <c r="H21" s="70"/>
      <c r="I21" s="70"/>
      <c r="J21" s="86"/>
      <c r="K21" s="84"/>
      <c r="L21" s="84"/>
      <c r="M21" s="84"/>
      <c r="N21" s="84"/>
      <c r="O21" s="84"/>
      <c r="P21" s="84"/>
      <c r="Q21" s="83" t="s">
        <v>537</v>
      </c>
      <c r="R21" s="83"/>
      <c r="S21" s="83" t="s">
        <v>537</v>
      </c>
      <c r="T21" s="87"/>
      <c r="U21" s="88"/>
    </row>
    <row r="22" spans="1:21" ht="66" x14ac:dyDescent="0.3">
      <c r="A22" s="80" t="s">
        <v>156</v>
      </c>
      <c r="B22" s="70" t="s">
        <v>113</v>
      </c>
      <c r="C22" s="69" t="s">
        <v>126</v>
      </c>
      <c r="D22" s="70" t="s">
        <v>661</v>
      </c>
      <c r="E22" s="69" t="s">
        <v>641</v>
      </c>
      <c r="F22" s="81" t="s">
        <v>115</v>
      </c>
      <c r="G22" s="82" t="s">
        <v>131</v>
      </c>
      <c r="H22" s="70"/>
      <c r="I22" s="70"/>
      <c r="J22" s="86"/>
      <c r="K22" s="84"/>
      <c r="L22" s="84"/>
      <c r="M22" s="84"/>
      <c r="N22" s="84"/>
      <c r="O22" s="84"/>
      <c r="P22" s="84"/>
      <c r="Q22" s="83" t="s">
        <v>537</v>
      </c>
      <c r="R22" s="83"/>
      <c r="S22" s="83" t="s">
        <v>537</v>
      </c>
      <c r="T22" s="87"/>
      <c r="U22" s="88"/>
    </row>
    <row r="23" spans="1:21" ht="66" x14ac:dyDescent="0.3">
      <c r="A23" s="80" t="s">
        <v>157</v>
      </c>
      <c r="B23" s="70" t="s">
        <v>113</v>
      </c>
      <c r="C23" s="69" t="s">
        <v>126</v>
      </c>
      <c r="D23" s="70" t="s">
        <v>662</v>
      </c>
      <c r="E23" s="69" t="s">
        <v>641</v>
      </c>
      <c r="F23" s="81" t="s">
        <v>115</v>
      </c>
      <c r="G23" s="89" t="s">
        <v>116</v>
      </c>
      <c r="H23" s="91"/>
      <c r="I23" s="91"/>
      <c r="J23" s="91"/>
      <c r="K23" s="81"/>
      <c r="L23" s="81"/>
      <c r="M23" s="81"/>
      <c r="N23" s="81"/>
      <c r="O23" s="81"/>
      <c r="P23" s="81"/>
      <c r="Q23" s="83" t="s">
        <v>537</v>
      </c>
      <c r="R23" s="101"/>
      <c r="S23" s="83" t="s">
        <v>537</v>
      </c>
      <c r="T23" s="91"/>
      <c r="U23" s="92"/>
    </row>
    <row r="24" spans="1:21" ht="115.5" x14ac:dyDescent="0.3">
      <c r="A24" s="80" t="s">
        <v>158</v>
      </c>
      <c r="B24" s="70" t="s">
        <v>113</v>
      </c>
      <c r="C24" s="69" t="s">
        <v>133</v>
      </c>
      <c r="D24" s="70" t="s">
        <v>663</v>
      </c>
      <c r="E24" s="69" t="s">
        <v>643</v>
      </c>
      <c r="F24" s="81" t="s">
        <v>115</v>
      </c>
      <c r="G24" s="82" t="s">
        <v>131</v>
      </c>
      <c r="H24" s="91"/>
      <c r="I24" s="91"/>
      <c r="J24" s="91"/>
      <c r="K24" s="81"/>
      <c r="L24" s="81"/>
      <c r="M24" s="81"/>
      <c r="N24" s="81"/>
      <c r="O24" s="81"/>
      <c r="P24" s="81"/>
      <c r="Q24" s="83" t="s">
        <v>537</v>
      </c>
      <c r="R24" s="101"/>
      <c r="S24" s="83" t="s">
        <v>537</v>
      </c>
      <c r="T24" s="91"/>
      <c r="U24" s="92"/>
    </row>
    <row r="25" spans="1:21" ht="115.5" x14ac:dyDescent="0.3">
      <c r="A25" s="80" t="s">
        <v>159</v>
      </c>
      <c r="B25" s="70" t="s">
        <v>113</v>
      </c>
      <c r="C25" s="69" t="s">
        <v>133</v>
      </c>
      <c r="D25" s="70" t="s">
        <v>664</v>
      </c>
      <c r="E25" s="69" t="s">
        <v>643</v>
      </c>
      <c r="F25" s="81" t="s">
        <v>115</v>
      </c>
      <c r="G25" s="89" t="s">
        <v>116</v>
      </c>
      <c r="H25" s="91"/>
      <c r="I25" s="91"/>
      <c r="J25" s="91"/>
      <c r="K25" s="81"/>
      <c r="L25" s="81"/>
      <c r="M25" s="81"/>
      <c r="N25" s="81"/>
      <c r="O25" s="81"/>
      <c r="P25" s="81"/>
      <c r="Q25" s="83" t="s">
        <v>537</v>
      </c>
      <c r="R25" s="101"/>
      <c r="S25" s="83" t="s">
        <v>537</v>
      </c>
      <c r="T25" s="91"/>
      <c r="U25" s="92"/>
    </row>
    <row r="26" spans="1:21" ht="132" x14ac:dyDescent="0.3">
      <c r="A26" s="80" t="s">
        <v>160</v>
      </c>
      <c r="B26" s="70" t="s">
        <v>113</v>
      </c>
      <c r="C26" s="69" t="s">
        <v>136</v>
      </c>
      <c r="D26" s="70" t="s">
        <v>665</v>
      </c>
      <c r="E26" s="69" t="s">
        <v>645</v>
      </c>
      <c r="F26" s="81" t="s">
        <v>115</v>
      </c>
      <c r="G26" s="82" t="s">
        <v>131</v>
      </c>
      <c r="H26" s="91"/>
      <c r="I26" s="91"/>
      <c r="J26" s="91"/>
      <c r="K26" s="81"/>
      <c r="L26" s="81"/>
      <c r="M26" s="81"/>
      <c r="N26" s="81"/>
      <c r="O26" s="81"/>
      <c r="P26" s="81"/>
      <c r="Q26" s="83" t="s">
        <v>537</v>
      </c>
      <c r="R26" s="101"/>
      <c r="S26" s="83" t="s">
        <v>537</v>
      </c>
      <c r="T26" s="91"/>
      <c r="U26" s="92"/>
    </row>
    <row r="27" spans="1:21" ht="132" x14ac:dyDescent="0.3">
      <c r="A27" s="80" t="s">
        <v>161</v>
      </c>
      <c r="B27" s="70" t="s">
        <v>113</v>
      </c>
      <c r="C27" s="69" t="s">
        <v>136</v>
      </c>
      <c r="D27" s="70" t="s">
        <v>666</v>
      </c>
      <c r="E27" s="69" t="s">
        <v>645</v>
      </c>
      <c r="F27" s="81" t="s">
        <v>115</v>
      </c>
      <c r="G27" s="82" t="s">
        <v>116</v>
      </c>
      <c r="H27" s="91"/>
      <c r="I27" s="91"/>
      <c r="J27" s="91"/>
      <c r="K27" s="81"/>
      <c r="L27" s="81"/>
      <c r="M27" s="81"/>
      <c r="N27" s="81"/>
      <c r="O27" s="81"/>
      <c r="P27" s="81"/>
      <c r="Q27" s="83" t="s">
        <v>537</v>
      </c>
      <c r="R27" s="101"/>
      <c r="S27" s="83" t="s">
        <v>537</v>
      </c>
      <c r="T27" s="91"/>
      <c r="U27" s="92"/>
    </row>
    <row r="28" spans="1:21" ht="82.5" x14ac:dyDescent="0.3">
      <c r="A28" s="80" t="s">
        <v>162</v>
      </c>
      <c r="B28" s="70" t="s">
        <v>113</v>
      </c>
      <c r="C28" s="69" t="s">
        <v>138</v>
      </c>
      <c r="D28" s="70" t="s">
        <v>667</v>
      </c>
      <c r="E28" s="69" t="s">
        <v>647</v>
      </c>
      <c r="F28" s="81" t="s">
        <v>115</v>
      </c>
      <c r="G28" s="82" t="s">
        <v>116</v>
      </c>
      <c r="H28" s="91"/>
      <c r="I28" s="91"/>
      <c r="J28" s="91"/>
      <c r="K28" s="81"/>
      <c r="L28" s="81"/>
      <c r="M28" s="81"/>
      <c r="N28" s="81"/>
      <c r="O28" s="81"/>
      <c r="P28" s="81"/>
      <c r="Q28" s="83" t="s">
        <v>537</v>
      </c>
      <c r="R28" s="101"/>
      <c r="S28" s="83" t="s">
        <v>537</v>
      </c>
      <c r="T28" s="91"/>
      <c r="U28" s="92"/>
    </row>
    <row r="29" spans="1:21" ht="66" x14ac:dyDescent="0.3">
      <c r="A29" s="80" t="s">
        <v>163</v>
      </c>
      <c r="B29" s="70" t="s">
        <v>113</v>
      </c>
      <c r="C29" s="69" t="s">
        <v>138</v>
      </c>
      <c r="D29" s="70" t="s">
        <v>668</v>
      </c>
      <c r="E29" s="69" t="s">
        <v>647</v>
      </c>
      <c r="F29" s="81" t="s">
        <v>115</v>
      </c>
      <c r="G29" s="82" t="s">
        <v>116</v>
      </c>
      <c r="H29" s="91"/>
      <c r="I29" s="91"/>
      <c r="J29" s="91"/>
      <c r="K29" s="81"/>
      <c r="L29" s="81"/>
      <c r="M29" s="81"/>
      <c r="N29" s="81"/>
      <c r="O29" s="81"/>
      <c r="P29" s="81"/>
      <c r="Q29" s="83" t="s">
        <v>537</v>
      </c>
      <c r="R29" s="101"/>
      <c r="S29" s="83" t="s">
        <v>537</v>
      </c>
      <c r="T29" s="91"/>
      <c r="U29" s="92"/>
    </row>
    <row r="30" spans="1:21" ht="297" x14ac:dyDescent="0.3">
      <c r="A30" s="80" t="s">
        <v>164</v>
      </c>
      <c r="B30" s="70" t="s">
        <v>113</v>
      </c>
      <c r="C30" s="69" t="s">
        <v>141</v>
      </c>
      <c r="D30" s="70" t="s">
        <v>665</v>
      </c>
      <c r="E30" s="69" t="s">
        <v>649</v>
      </c>
      <c r="F30" s="81" t="s">
        <v>115</v>
      </c>
      <c r="G30" s="81" t="s">
        <v>131</v>
      </c>
      <c r="H30" s="91"/>
      <c r="I30" s="91"/>
      <c r="J30" s="91"/>
      <c r="K30" s="81"/>
      <c r="L30" s="81"/>
      <c r="M30" s="81"/>
      <c r="N30" s="81"/>
      <c r="O30" s="81"/>
      <c r="P30" s="81"/>
      <c r="Q30" s="83" t="s">
        <v>537</v>
      </c>
      <c r="R30" s="101"/>
      <c r="S30" s="83" t="s">
        <v>537</v>
      </c>
      <c r="T30" s="91"/>
      <c r="U30" s="92"/>
    </row>
    <row r="31" spans="1:21" ht="297" x14ac:dyDescent="0.3">
      <c r="A31" s="80" t="s">
        <v>165</v>
      </c>
      <c r="B31" s="70" t="s">
        <v>113</v>
      </c>
      <c r="C31" s="69" t="s">
        <v>141</v>
      </c>
      <c r="D31" s="70" t="s">
        <v>669</v>
      </c>
      <c r="E31" s="69" t="s">
        <v>649</v>
      </c>
      <c r="F31" s="81" t="s">
        <v>115</v>
      </c>
      <c r="G31" s="82" t="s">
        <v>116</v>
      </c>
      <c r="H31" s="91"/>
      <c r="I31" s="91"/>
      <c r="J31" s="91"/>
      <c r="K31" s="81"/>
      <c r="L31" s="81"/>
      <c r="M31" s="81"/>
      <c r="N31" s="81"/>
      <c r="O31" s="81"/>
      <c r="P31" s="81"/>
      <c r="Q31" s="83" t="s">
        <v>537</v>
      </c>
      <c r="R31" s="101"/>
      <c r="S31" s="83" t="s">
        <v>537</v>
      </c>
      <c r="T31" s="91"/>
      <c r="U31" s="92"/>
    </row>
    <row r="32" spans="1:21" ht="330" x14ac:dyDescent="0.3">
      <c r="A32" s="80" t="s">
        <v>166</v>
      </c>
      <c r="B32" s="70" t="s">
        <v>113</v>
      </c>
      <c r="C32" s="69" t="s">
        <v>144</v>
      </c>
      <c r="D32" s="70" t="s">
        <v>670</v>
      </c>
      <c r="E32" s="69" t="s">
        <v>651</v>
      </c>
      <c r="F32" s="81" t="s">
        <v>115</v>
      </c>
      <c r="G32" s="81" t="s">
        <v>116</v>
      </c>
      <c r="H32" s="91"/>
      <c r="I32" s="91"/>
      <c r="J32" s="91"/>
      <c r="K32" s="81"/>
      <c r="L32" s="81"/>
      <c r="M32" s="81"/>
      <c r="N32" s="81"/>
      <c r="O32" s="81"/>
      <c r="P32" s="81"/>
      <c r="Q32" s="83" t="s">
        <v>537</v>
      </c>
      <c r="R32" s="101"/>
      <c r="S32" s="83" t="s">
        <v>537</v>
      </c>
      <c r="T32" s="91"/>
      <c r="U32" s="92"/>
    </row>
    <row r="33" spans="1:21" ht="330" x14ac:dyDescent="0.3">
      <c r="A33" s="80" t="s">
        <v>167</v>
      </c>
      <c r="B33" s="70" t="s">
        <v>113</v>
      </c>
      <c r="C33" s="69" t="s">
        <v>144</v>
      </c>
      <c r="D33" s="70" t="s">
        <v>671</v>
      </c>
      <c r="E33" s="69" t="s">
        <v>651</v>
      </c>
      <c r="F33" s="81" t="s">
        <v>115</v>
      </c>
      <c r="G33" s="93" t="s">
        <v>116</v>
      </c>
      <c r="H33" s="91"/>
      <c r="I33" s="91"/>
      <c r="J33" s="91"/>
      <c r="K33" s="81"/>
      <c r="L33" s="81"/>
      <c r="M33" s="81"/>
      <c r="N33" s="81"/>
      <c r="O33" s="81"/>
      <c r="P33" s="81"/>
      <c r="Q33" s="83" t="s">
        <v>537</v>
      </c>
      <c r="R33" s="101"/>
      <c r="S33" s="83" t="s">
        <v>537</v>
      </c>
      <c r="T33" s="91"/>
      <c r="U33" s="92"/>
    </row>
    <row r="34" spans="1:21" ht="99" x14ac:dyDescent="0.3">
      <c r="A34" s="80" t="s">
        <v>168</v>
      </c>
      <c r="B34" s="70" t="s">
        <v>113</v>
      </c>
      <c r="C34" s="69" t="s">
        <v>618</v>
      </c>
      <c r="D34" s="70" t="s">
        <v>672</v>
      </c>
      <c r="E34" s="69" t="s">
        <v>633</v>
      </c>
      <c r="F34" s="81" t="s">
        <v>169</v>
      </c>
      <c r="G34" s="82" t="s">
        <v>623</v>
      </c>
      <c r="H34" s="91"/>
      <c r="I34" s="91"/>
      <c r="J34" s="91"/>
      <c r="K34" s="81"/>
      <c r="L34" s="81"/>
      <c r="M34" s="81"/>
      <c r="N34" s="81"/>
      <c r="O34" s="81"/>
      <c r="P34" s="81"/>
      <c r="Q34" s="83" t="s">
        <v>537</v>
      </c>
      <c r="R34" s="101"/>
      <c r="S34" s="83" t="s">
        <v>537</v>
      </c>
      <c r="T34" s="91"/>
      <c r="U34" s="92"/>
    </row>
    <row r="35" spans="1:21" ht="99" x14ac:dyDescent="0.3">
      <c r="A35" s="80" t="s">
        <v>170</v>
      </c>
      <c r="B35" s="70" t="s">
        <v>113</v>
      </c>
      <c r="C35" s="69" t="s">
        <v>618</v>
      </c>
      <c r="D35" s="70" t="s">
        <v>673</v>
      </c>
      <c r="E35" s="69" t="s">
        <v>674</v>
      </c>
      <c r="F35" s="81" t="s">
        <v>169</v>
      </c>
      <c r="G35" s="82" t="s">
        <v>623</v>
      </c>
      <c r="H35" s="91"/>
      <c r="I35" s="91"/>
      <c r="J35" s="91"/>
      <c r="K35" s="81"/>
      <c r="L35" s="81"/>
      <c r="M35" s="81"/>
      <c r="N35" s="81"/>
      <c r="O35" s="81"/>
      <c r="P35" s="81"/>
      <c r="Q35" s="83" t="s">
        <v>537</v>
      </c>
      <c r="R35" s="101"/>
      <c r="S35" s="83" t="s">
        <v>537</v>
      </c>
      <c r="T35" s="91"/>
      <c r="U35" s="92"/>
    </row>
    <row r="36" spans="1:21" ht="99" x14ac:dyDescent="0.3">
      <c r="A36" s="80" t="s">
        <v>171</v>
      </c>
      <c r="B36" s="70" t="s">
        <v>113</v>
      </c>
      <c r="C36" s="69" t="s">
        <v>120</v>
      </c>
      <c r="D36" s="70" t="s">
        <v>675</v>
      </c>
      <c r="E36" s="69" t="s">
        <v>635</v>
      </c>
      <c r="F36" s="81" t="s">
        <v>115</v>
      </c>
      <c r="G36" s="82" t="s">
        <v>131</v>
      </c>
      <c r="H36" s="91"/>
      <c r="I36" s="91"/>
      <c r="J36" s="91"/>
      <c r="K36" s="81"/>
      <c r="L36" s="81"/>
      <c r="M36" s="81"/>
      <c r="N36" s="81"/>
      <c r="O36" s="81"/>
      <c r="P36" s="81"/>
      <c r="Q36" s="83" t="s">
        <v>537</v>
      </c>
      <c r="R36" s="101"/>
      <c r="S36" s="83" t="s">
        <v>537</v>
      </c>
      <c r="T36" s="91"/>
      <c r="U36" s="92"/>
    </row>
    <row r="37" spans="1:21" ht="99" x14ac:dyDescent="0.3">
      <c r="A37" s="80" t="s">
        <v>172</v>
      </c>
      <c r="B37" s="70" t="s">
        <v>113</v>
      </c>
      <c r="C37" s="69" t="s">
        <v>120</v>
      </c>
      <c r="D37" s="70" t="s">
        <v>676</v>
      </c>
      <c r="E37" s="69" t="s">
        <v>635</v>
      </c>
      <c r="F37" s="81" t="s">
        <v>115</v>
      </c>
      <c r="G37" s="82" t="s">
        <v>131</v>
      </c>
      <c r="H37" s="91"/>
      <c r="I37" s="91"/>
      <c r="J37" s="91"/>
      <c r="K37" s="81"/>
      <c r="L37" s="81"/>
      <c r="M37" s="81"/>
      <c r="N37" s="81"/>
      <c r="O37" s="81"/>
      <c r="P37" s="81"/>
      <c r="Q37" s="83" t="s">
        <v>537</v>
      </c>
      <c r="R37" s="101"/>
      <c r="S37" s="83" t="s">
        <v>537</v>
      </c>
      <c r="T37" s="91"/>
      <c r="U37" s="92"/>
    </row>
    <row r="38" spans="1:21" ht="186" customHeight="1" x14ac:dyDescent="0.3">
      <c r="A38" s="80" t="s">
        <v>173</v>
      </c>
      <c r="B38" s="70" t="s">
        <v>113</v>
      </c>
      <c r="C38" s="69" t="s">
        <v>124</v>
      </c>
      <c r="D38" s="70" t="s">
        <v>677</v>
      </c>
      <c r="E38" s="69" t="s">
        <v>637</v>
      </c>
      <c r="F38" s="81" t="s">
        <v>115</v>
      </c>
      <c r="G38" s="82" t="s">
        <v>131</v>
      </c>
      <c r="H38" s="91"/>
      <c r="I38" s="91"/>
      <c r="J38" s="91"/>
      <c r="K38" s="81"/>
      <c r="L38" s="81"/>
      <c r="M38" s="81"/>
      <c r="N38" s="81"/>
      <c r="O38" s="81"/>
      <c r="P38" s="81"/>
      <c r="Q38" s="83" t="s">
        <v>537</v>
      </c>
      <c r="R38" s="101"/>
      <c r="S38" s="83" t="s">
        <v>537</v>
      </c>
      <c r="T38" s="91"/>
      <c r="U38" s="92"/>
    </row>
    <row r="39" spans="1:21" ht="165" x14ac:dyDescent="0.3">
      <c r="A39" s="80" t="s">
        <v>174</v>
      </c>
      <c r="B39" s="70" t="s">
        <v>113</v>
      </c>
      <c r="C39" s="69" t="s">
        <v>124</v>
      </c>
      <c r="D39" s="70" t="s">
        <v>678</v>
      </c>
      <c r="E39" s="69" t="s">
        <v>637</v>
      </c>
      <c r="F39" s="81" t="s">
        <v>115</v>
      </c>
      <c r="G39" s="82" t="s">
        <v>131</v>
      </c>
      <c r="H39" s="91"/>
      <c r="I39" s="91"/>
      <c r="J39" s="91"/>
      <c r="K39" s="81"/>
      <c r="L39" s="81"/>
      <c r="M39" s="81"/>
      <c r="N39" s="81"/>
      <c r="O39" s="81"/>
      <c r="P39" s="81"/>
      <c r="Q39" s="83" t="s">
        <v>537</v>
      </c>
      <c r="R39" s="101"/>
      <c r="S39" s="83" t="s">
        <v>537</v>
      </c>
      <c r="T39" s="91"/>
      <c r="U39" s="92"/>
    </row>
    <row r="40" spans="1:21" ht="49.5" x14ac:dyDescent="0.3">
      <c r="A40" s="80" t="s">
        <v>175</v>
      </c>
      <c r="B40" s="70" t="s">
        <v>113</v>
      </c>
      <c r="C40" s="69" t="s">
        <v>125</v>
      </c>
      <c r="D40" s="70" t="s">
        <v>679</v>
      </c>
      <c r="E40" s="69" t="s">
        <v>639</v>
      </c>
      <c r="F40" s="81" t="s">
        <v>115</v>
      </c>
      <c r="G40" s="89" t="s">
        <v>131</v>
      </c>
      <c r="H40" s="91"/>
      <c r="I40" s="91"/>
      <c r="J40" s="91"/>
      <c r="K40" s="81"/>
      <c r="L40" s="81"/>
      <c r="M40" s="81"/>
      <c r="N40" s="81"/>
      <c r="O40" s="81"/>
      <c r="P40" s="81"/>
      <c r="Q40" s="83" t="s">
        <v>537</v>
      </c>
      <c r="R40" s="101"/>
      <c r="S40" s="83" t="s">
        <v>537</v>
      </c>
      <c r="T40" s="91"/>
      <c r="U40" s="92"/>
    </row>
    <row r="41" spans="1:21" ht="49.5" x14ac:dyDescent="0.3">
      <c r="A41" s="80" t="s">
        <v>176</v>
      </c>
      <c r="B41" s="70" t="s">
        <v>113</v>
      </c>
      <c r="C41" s="69" t="s">
        <v>125</v>
      </c>
      <c r="D41" s="70" t="s">
        <v>680</v>
      </c>
      <c r="E41" s="69" t="s">
        <v>639</v>
      </c>
      <c r="F41" s="81" t="s">
        <v>115</v>
      </c>
      <c r="G41" s="89" t="s">
        <v>131</v>
      </c>
      <c r="H41" s="91"/>
      <c r="I41" s="91"/>
      <c r="J41" s="91"/>
      <c r="K41" s="81"/>
      <c r="L41" s="81"/>
      <c r="M41" s="81"/>
      <c r="N41" s="81"/>
      <c r="O41" s="81"/>
      <c r="P41" s="81"/>
      <c r="Q41" s="83" t="s">
        <v>537</v>
      </c>
      <c r="R41" s="101"/>
      <c r="S41" s="83" t="s">
        <v>537</v>
      </c>
      <c r="T41" s="91"/>
      <c r="U41" s="92"/>
    </row>
    <row r="42" spans="1:21" ht="66" x14ac:dyDescent="0.3">
      <c r="A42" s="80" t="s">
        <v>177</v>
      </c>
      <c r="B42" s="70" t="s">
        <v>113</v>
      </c>
      <c r="C42" s="69" t="s">
        <v>126</v>
      </c>
      <c r="D42" s="70" t="s">
        <v>681</v>
      </c>
      <c r="E42" s="69" t="s">
        <v>641</v>
      </c>
      <c r="F42" s="81" t="s">
        <v>115</v>
      </c>
      <c r="G42" s="82" t="s">
        <v>131</v>
      </c>
      <c r="H42" s="91"/>
      <c r="I42" s="91"/>
      <c r="J42" s="91"/>
      <c r="K42" s="81"/>
      <c r="L42" s="81"/>
      <c r="M42" s="81"/>
      <c r="N42" s="81"/>
      <c r="O42" s="81"/>
      <c r="P42" s="81"/>
      <c r="Q42" s="83" t="s">
        <v>537</v>
      </c>
      <c r="R42" s="101"/>
      <c r="S42" s="83" t="s">
        <v>537</v>
      </c>
      <c r="T42" s="91"/>
      <c r="U42" s="92"/>
    </row>
    <row r="43" spans="1:21" ht="66" x14ac:dyDescent="0.3">
      <c r="A43" s="80" t="s">
        <v>178</v>
      </c>
      <c r="B43" s="70" t="s">
        <v>113</v>
      </c>
      <c r="C43" s="69" t="s">
        <v>126</v>
      </c>
      <c r="D43" s="70" t="s">
        <v>682</v>
      </c>
      <c r="E43" s="69" t="s">
        <v>641</v>
      </c>
      <c r="F43" s="81" t="s">
        <v>115</v>
      </c>
      <c r="G43" s="82" t="s">
        <v>131</v>
      </c>
      <c r="H43" s="91"/>
      <c r="I43" s="91"/>
      <c r="J43" s="91"/>
      <c r="K43" s="81"/>
      <c r="L43" s="81"/>
      <c r="M43" s="81"/>
      <c r="N43" s="81"/>
      <c r="O43" s="81"/>
      <c r="P43" s="81"/>
      <c r="Q43" s="83" t="s">
        <v>537</v>
      </c>
      <c r="R43" s="101"/>
      <c r="S43" s="83" t="s">
        <v>537</v>
      </c>
      <c r="T43" s="91"/>
      <c r="U43" s="92"/>
    </row>
    <row r="44" spans="1:21" ht="115.5" x14ac:dyDescent="0.3">
      <c r="A44" s="80" t="s">
        <v>179</v>
      </c>
      <c r="B44" s="70" t="s">
        <v>113</v>
      </c>
      <c r="C44" s="69" t="s">
        <v>133</v>
      </c>
      <c r="D44" s="70" t="s">
        <v>683</v>
      </c>
      <c r="E44" s="69" t="s">
        <v>643</v>
      </c>
      <c r="F44" s="81" t="s">
        <v>115</v>
      </c>
      <c r="G44" s="82" t="s">
        <v>131</v>
      </c>
      <c r="H44" s="91"/>
      <c r="I44" s="91"/>
      <c r="J44" s="91"/>
      <c r="K44" s="81"/>
      <c r="L44" s="81"/>
      <c r="M44" s="81"/>
      <c r="N44" s="81"/>
      <c r="O44" s="81"/>
      <c r="P44" s="81"/>
      <c r="Q44" s="83" t="s">
        <v>537</v>
      </c>
      <c r="R44" s="101"/>
      <c r="S44" s="83" t="s">
        <v>537</v>
      </c>
      <c r="T44" s="91"/>
      <c r="U44" s="92"/>
    </row>
    <row r="45" spans="1:21" ht="115.5" x14ac:dyDescent="0.3">
      <c r="A45" s="80" t="s">
        <v>180</v>
      </c>
      <c r="B45" s="70" t="s">
        <v>113</v>
      </c>
      <c r="C45" s="69" t="s">
        <v>133</v>
      </c>
      <c r="D45" s="70" t="s">
        <v>684</v>
      </c>
      <c r="E45" s="69" t="s">
        <v>643</v>
      </c>
      <c r="F45" s="81" t="s">
        <v>115</v>
      </c>
      <c r="G45" s="82" t="s">
        <v>131</v>
      </c>
      <c r="H45" s="91"/>
      <c r="I45" s="91"/>
      <c r="J45" s="91"/>
      <c r="K45" s="81"/>
      <c r="L45" s="81"/>
      <c r="M45" s="81"/>
      <c r="N45" s="81"/>
      <c r="O45" s="81"/>
      <c r="P45" s="81"/>
      <c r="Q45" s="83" t="s">
        <v>537</v>
      </c>
      <c r="R45" s="101"/>
      <c r="S45" s="83" t="s">
        <v>537</v>
      </c>
      <c r="T45" s="91"/>
      <c r="U45" s="92"/>
    </row>
    <row r="46" spans="1:21" ht="132" x14ac:dyDescent="0.3">
      <c r="A46" s="80" t="s">
        <v>181</v>
      </c>
      <c r="B46" s="70" t="s">
        <v>113</v>
      </c>
      <c r="C46" s="69" t="s">
        <v>136</v>
      </c>
      <c r="D46" s="70" t="s">
        <v>685</v>
      </c>
      <c r="E46" s="69" t="s">
        <v>645</v>
      </c>
      <c r="F46" s="81" t="s">
        <v>115</v>
      </c>
      <c r="G46" s="82" t="s">
        <v>131</v>
      </c>
      <c r="H46" s="91"/>
      <c r="I46" s="91"/>
      <c r="J46" s="91"/>
      <c r="K46" s="81"/>
      <c r="L46" s="81"/>
      <c r="M46" s="81"/>
      <c r="N46" s="81"/>
      <c r="O46" s="81"/>
      <c r="P46" s="81"/>
      <c r="Q46" s="83" t="s">
        <v>537</v>
      </c>
      <c r="R46" s="101"/>
      <c r="S46" s="83" t="s">
        <v>537</v>
      </c>
      <c r="T46" s="91"/>
      <c r="U46" s="92"/>
    </row>
    <row r="47" spans="1:21" ht="132" x14ac:dyDescent="0.3">
      <c r="A47" s="80" t="s">
        <v>182</v>
      </c>
      <c r="B47" s="70" t="s">
        <v>113</v>
      </c>
      <c r="C47" s="69" t="s">
        <v>136</v>
      </c>
      <c r="D47" s="70" t="s">
        <v>686</v>
      </c>
      <c r="E47" s="69" t="s">
        <v>645</v>
      </c>
      <c r="F47" s="81" t="s">
        <v>115</v>
      </c>
      <c r="G47" s="82" t="s">
        <v>131</v>
      </c>
      <c r="H47" s="91"/>
      <c r="I47" s="91"/>
      <c r="J47" s="91"/>
      <c r="K47" s="81"/>
      <c r="L47" s="81"/>
      <c r="M47" s="81"/>
      <c r="N47" s="81"/>
      <c r="O47" s="81"/>
      <c r="P47" s="81"/>
      <c r="Q47" s="83" t="s">
        <v>537</v>
      </c>
      <c r="R47" s="101"/>
      <c r="S47" s="83" t="s">
        <v>537</v>
      </c>
      <c r="T47" s="91"/>
      <c r="U47" s="92"/>
    </row>
    <row r="48" spans="1:21" ht="66" x14ac:dyDescent="0.3">
      <c r="A48" s="80" t="s">
        <v>183</v>
      </c>
      <c r="B48" s="70" t="s">
        <v>113</v>
      </c>
      <c r="C48" s="69" t="s">
        <v>138</v>
      </c>
      <c r="D48" s="70" t="s">
        <v>687</v>
      </c>
      <c r="E48" s="69" t="s">
        <v>647</v>
      </c>
      <c r="F48" s="81" t="s">
        <v>115</v>
      </c>
      <c r="G48" s="82" t="s">
        <v>131</v>
      </c>
      <c r="H48" s="91"/>
      <c r="I48" s="91"/>
      <c r="J48" s="91"/>
      <c r="K48" s="81"/>
      <c r="L48" s="81"/>
      <c r="M48" s="81"/>
      <c r="N48" s="81"/>
      <c r="O48" s="81"/>
      <c r="P48" s="81"/>
      <c r="Q48" s="83" t="s">
        <v>537</v>
      </c>
      <c r="R48" s="101"/>
      <c r="S48" s="83" t="s">
        <v>537</v>
      </c>
      <c r="T48" s="91"/>
      <c r="U48" s="92"/>
    </row>
    <row r="49" spans="1:21" ht="66" x14ac:dyDescent="0.3">
      <c r="A49" s="80" t="s">
        <v>184</v>
      </c>
      <c r="B49" s="70" t="s">
        <v>113</v>
      </c>
      <c r="C49" s="69" t="s">
        <v>138</v>
      </c>
      <c r="D49" s="70" t="s">
        <v>688</v>
      </c>
      <c r="E49" s="69" t="s">
        <v>647</v>
      </c>
      <c r="F49" s="81" t="s">
        <v>115</v>
      </c>
      <c r="G49" s="82" t="s">
        <v>131</v>
      </c>
      <c r="H49" s="91"/>
      <c r="I49" s="91"/>
      <c r="J49" s="91"/>
      <c r="K49" s="81"/>
      <c r="L49" s="81"/>
      <c r="M49" s="81"/>
      <c r="N49" s="81"/>
      <c r="O49" s="81"/>
      <c r="P49" s="81"/>
      <c r="Q49" s="83" t="s">
        <v>537</v>
      </c>
      <c r="R49" s="101"/>
      <c r="S49" s="83" t="s">
        <v>537</v>
      </c>
      <c r="T49" s="91"/>
      <c r="U49" s="92"/>
    </row>
    <row r="50" spans="1:21" ht="297" x14ac:dyDescent="0.3">
      <c r="A50" s="80" t="s">
        <v>185</v>
      </c>
      <c r="B50" s="70" t="s">
        <v>113</v>
      </c>
      <c r="C50" s="69" t="s">
        <v>141</v>
      </c>
      <c r="D50" s="70" t="s">
        <v>685</v>
      </c>
      <c r="E50" s="69" t="s">
        <v>649</v>
      </c>
      <c r="F50" s="90" t="s">
        <v>115</v>
      </c>
      <c r="G50" s="81" t="s">
        <v>131</v>
      </c>
      <c r="H50" s="91"/>
      <c r="I50" s="91"/>
      <c r="J50" s="91"/>
      <c r="K50" s="81"/>
      <c r="L50" s="81"/>
      <c r="M50" s="81"/>
      <c r="N50" s="81"/>
      <c r="O50" s="81"/>
      <c r="P50" s="81"/>
      <c r="Q50" s="83" t="s">
        <v>537</v>
      </c>
      <c r="R50" s="101"/>
      <c r="S50" s="83" t="s">
        <v>537</v>
      </c>
      <c r="T50" s="91"/>
      <c r="U50" s="92"/>
    </row>
    <row r="51" spans="1:21" ht="297" x14ac:dyDescent="0.3">
      <c r="A51" s="80" t="s">
        <v>186</v>
      </c>
      <c r="B51" s="70" t="s">
        <v>113</v>
      </c>
      <c r="C51" s="69" t="s">
        <v>141</v>
      </c>
      <c r="D51" s="70" t="s">
        <v>689</v>
      </c>
      <c r="E51" s="69" t="s">
        <v>649</v>
      </c>
      <c r="F51" s="90" t="s">
        <v>115</v>
      </c>
      <c r="G51" s="81" t="s">
        <v>131</v>
      </c>
      <c r="H51" s="91"/>
      <c r="I51" s="91"/>
      <c r="J51" s="91"/>
      <c r="K51" s="81"/>
      <c r="L51" s="81"/>
      <c r="M51" s="81"/>
      <c r="N51" s="81"/>
      <c r="O51" s="81"/>
      <c r="P51" s="81"/>
      <c r="Q51" s="83" t="s">
        <v>537</v>
      </c>
      <c r="R51" s="101"/>
      <c r="S51" s="83" t="s">
        <v>537</v>
      </c>
      <c r="T51" s="91"/>
      <c r="U51" s="92"/>
    </row>
    <row r="52" spans="1:21" ht="330" x14ac:dyDescent="0.3">
      <c r="A52" s="80" t="s">
        <v>187</v>
      </c>
      <c r="B52" s="70" t="s">
        <v>113</v>
      </c>
      <c r="C52" s="69" t="s">
        <v>144</v>
      </c>
      <c r="D52" s="70" t="s">
        <v>685</v>
      </c>
      <c r="E52" s="69" t="s">
        <v>651</v>
      </c>
      <c r="F52" s="81" t="s">
        <v>115</v>
      </c>
      <c r="G52" s="81" t="s">
        <v>131</v>
      </c>
      <c r="H52" s="91"/>
      <c r="I52" s="91"/>
      <c r="J52" s="91"/>
      <c r="K52" s="81"/>
      <c r="L52" s="81"/>
      <c r="M52" s="81"/>
      <c r="N52" s="81"/>
      <c r="O52" s="81"/>
      <c r="P52" s="81"/>
      <c r="Q52" s="83" t="s">
        <v>537</v>
      </c>
      <c r="R52" s="101"/>
      <c r="S52" s="83" t="s">
        <v>537</v>
      </c>
      <c r="T52" s="91"/>
      <c r="U52" s="92"/>
    </row>
    <row r="53" spans="1:21" ht="330" x14ac:dyDescent="0.3">
      <c r="A53" s="80" t="s">
        <v>188</v>
      </c>
      <c r="B53" s="70" t="s">
        <v>113</v>
      </c>
      <c r="C53" s="69" t="s">
        <v>144</v>
      </c>
      <c r="D53" s="70" t="s">
        <v>690</v>
      </c>
      <c r="E53" s="69" t="s">
        <v>651</v>
      </c>
      <c r="F53" s="81" t="s">
        <v>115</v>
      </c>
      <c r="G53" s="81" t="s">
        <v>131</v>
      </c>
      <c r="H53" s="91"/>
      <c r="I53" s="91"/>
      <c r="J53" s="91"/>
      <c r="K53" s="81"/>
      <c r="L53" s="81"/>
      <c r="M53" s="81"/>
      <c r="N53" s="81"/>
      <c r="O53" s="81"/>
      <c r="P53" s="81"/>
      <c r="Q53" s="83" t="s">
        <v>537</v>
      </c>
      <c r="R53" s="101"/>
      <c r="S53" s="83" t="s">
        <v>537</v>
      </c>
      <c r="T53" s="91"/>
      <c r="U53" s="92"/>
    </row>
    <row r="54" spans="1:21" ht="49.5" x14ac:dyDescent="0.3">
      <c r="A54" s="94" t="s">
        <v>609</v>
      </c>
      <c r="B54" s="75" t="s">
        <v>603</v>
      </c>
      <c r="C54" s="71" t="s">
        <v>605</v>
      </c>
      <c r="D54" s="95" t="s">
        <v>691</v>
      </c>
      <c r="E54" s="96"/>
      <c r="F54" s="74" t="s">
        <v>395</v>
      </c>
      <c r="G54" s="73"/>
      <c r="H54" s="97"/>
      <c r="I54" s="97"/>
      <c r="J54" s="97"/>
      <c r="K54" s="72"/>
      <c r="L54" s="72"/>
      <c r="M54" s="72"/>
      <c r="N54" s="72"/>
      <c r="O54" s="72"/>
      <c r="P54" s="72"/>
      <c r="Q54" s="72"/>
      <c r="R54" s="72"/>
      <c r="S54" s="72"/>
      <c r="T54" s="97"/>
      <c r="U54" s="98"/>
    </row>
  </sheetData>
  <mergeCells count="3">
    <mergeCell ref="A1:I1"/>
    <mergeCell ref="J1:U2"/>
    <mergeCell ref="A2:E2"/>
  </mergeCells>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F5F3-29BF-479F-B522-A3F030B417B1}">
  <dimension ref="A1:AA54"/>
  <sheetViews>
    <sheetView topLeftCell="A52" zoomScale="70" zoomScaleNormal="70" workbookViewId="0">
      <selection activeCell="A4" sqref="A4"/>
    </sheetView>
  </sheetViews>
  <sheetFormatPr defaultColWidth="10.85546875" defaultRowHeight="16.5" x14ac:dyDescent="0.3"/>
  <cols>
    <col min="1" max="1" width="16.7109375" style="66" customWidth="1"/>
    <col min="2" max="2" width="14.85546875" style="66" customWidth="1"/>
    <col min="3" max="3" width="31.85546875" style="66" customWidth="1"/>
    <col min="4" max="4" width="74.85546875" style="66" customWidth="1"/>
    <col min="5" max="5" width="32.140625" style="66" bestFit="1" customWidth="1"/>
    <col min="6" max="6" width="10.85546875" style="76"/>
    <col min="7" max="7" width="26" style="76" customWidth="1"/>
    <col min="8" max="8" width="12.85546875" style="66" customWidth="1"/>
    <col min="9" max="9" width="23.28515625" style="66" customWidth="1"/>
    <col min="10" max="10" width="10.85546875" style="66"/>
    <col min="11" max="11" width="29.140625" style="76" bestFit="1" customWidth="1"/>
    <col min="12" max="12" width="23.28515625" style="76" bestFit="1" customWidth="1"/>
    <col min="13" max="13" width="24.140625" style="76" bestFit="1" customWidth="1"/>
    <col min="14" max="14" width="36.7109375" style="76" bestFit="1" customWidth="1"/>
    <col min="15" max="15" width="34.42578125" style="76" bestFit="1" customWidth="1"/>
    <col min="16" max="16" width="31.7109375" style="76" bestFit="1" customWidth="1"/>
    <col min="17" max="17" width="25.140625" style="76" bestFit="1" customWidth="1"/>
    <col min="18" max="18" width="30.5703125" style="76" bestFit="1" customWidth="1"/>
    <col min="19" max="19" width="22.28515625" style="76" bestFit="1" customWidth="1"/>
    <col min="20" max="20" width="21.28515625" style="66" bestFit="1" customWidth="1"/>
    <col min="21" max="21" width="25.5703125" style="66" bestFit="1" customWidth="1"/>
    <col min="22" max="16384" width="10.85546875" style="66"/>
  </cols>
  <sheetData>
    <row r="1" spans="1:27" ht="57.75" customHeight="1" x14ac:dyDescent="0.3">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7" ht="21.75" customHeight="1" x14ac:dyDescent="0.3">
      <c r="A2" s="248" t="str">
        <f>Homepage!A2</f>
        <v>Environment: https://ngw-stage.lighthouselabs.io/de/mofa.html</v>
      </c>
      <c r="B2" s="249"/>
      <c r="C2" s="249"/>
      <c r="D2" s="249"/>
      <c r="E2" s="249"/>
      <c r="F2" s="77"/>
      <c r="G2" s="77"/>
      <c r="H2" s="78"/>
      <c r="I2" s="79"/>
      <c r="J2" s="252"/>
      <c r="K2" s="252"/>
      <c r="L2" s="252"/>
      <c r="M2" s="252"/>
      <c r="N2" s="252"/>
      <c r="O2" s="252"/>
      <c r="P2" s="252"/>
      <c r="Q2" s="252"/>
      <c r="R2" s="252"/>
      <c r="S2" s="252"/>
      <c r="T2" s="252"/>
      <c r="U2" s="253"/>
    </row>
    <row r="3" spans="1:27" ht="49.5" x14ac:dyDescent="0.3">
      <c r="A3" s="130" t="s">
        <v>105</v>
      </c>
      <c r="B3" s="131" t="s">
        <v>106</v>
      </c>
      <c r="C3" s="131" t="s">
        <v>107</v>
      </c>
      <c r="D3" s="131" t="s">
        <v>625</v>
      </c>
      <c r="E3" s="131" t="s">
        <v>626</v>
      </c>
      <c r="F3" s="131" t="s">
        <v>108</v>
      </c>
      <c r="G3" s="131" t="s">
        <v>109</v>
      </c>
      <c r="H3" s="67" t="s">
        <v>468</v>
      </c>
      <c r="I3" s="67" t="s">
        <v>627</v>
      </c>
      <c r="J3" s="67" t="s">
        <v>628</v>
      </c>
      <c r="K3" s="132" t="s">
        <v>692</v>
      </c>
      <c r="L3" s="132" t="s">
        <v>693</v>
      </c>
      <c r="M3" s="132" t="s">
        <v>699</v>
      </c>
      <c r="N3" s="132" t="s">
        <v>696</v>
      </c>
      <c r="O3" s="132" t="s">
        <v>694</v>
      </c>
      <c r="P3" s="132" t="s">
        <v>695</v>
      </c>
      <c r="Q3" s="132" t="s">
        <v>697</v>
      </c>
      <c r="R3" s="132" t="s">
        <v>698</v>
      </c>
      <c r="S3" s="132" t="s">
        <v>629</v>
      </c>
      <c r="T3" s="133" t="s">
        <v>110</v>
      </c>
      <c r="U3" s="133" t="s">
        <v>111</v>
      </c>
    </row>
    <row r="4" spans="1:27" ht="66" x14ac:dyDescent="0.3">
      <c r="A4" s="149" t="s">
        <v>268</v>
      </c>
      <c r="B4" s="153" t="s">
        <v>98</v>
      </c>
      <c r="C4" s="149" t="s">
        <v>269</v>
      </c>
      <c r="D4" s="116" t="s">
        <v>890</v>
      </c>
      <c r="E4" s="149" t="s">
        <v>891</v>
      </c>
      <c r="F4" s="81" t="s">
        <v>115</v>
      </c>
      <c r="G4" s="81" t="s">
        <v>116</v>
      </c>
      <c r="H4" s="83"/>
      <c r="I4" s="83"/>
      <c r="J4" s="84"/>
      <c r="K4" s="188"/>
      <c r="L4" s="188"/>
      <c r="M4" s="188"/>
      <c r="N4" s="188"/>
      <c r="O4" s="188"/>
      <c r="P4" s="188"/>
      <c r="Q4" s="199" t="s">
        <v>537</v>
      </c>
      <c r="R4" s="188"/>
      <c r="S4" s="199" t="s">
        <v>537</v>
      </c>
      <c r="T4" s="188"/>
      <c r="U4" s="188"/>
      <c r="V4" s="76"/>
      <c r="W4" s="76"/>
      <c r="X4" s="76"/>
      <c r="Y4" s="76"/>
      <c r="Z4" s="76"/>
      <c r="AA4" s="76"/>
    </row>
    <row r="5" spans="1:27" ht="66" x14ac:dyDescent="0.3">
      <c r="A5" s="149" t="s">
        <v>270</v>
      </c>
      <c r="B5" s="153" t="s">
        <v>98</v>
      </c>
      <c r="C5" s="149" t="s">
        <v>121</v>
      </c>
      <c r="D5" s="116" t="s">
        <v>892</v>
      </c>
      <c r="E5" s="149" t="s">
        <v>893</v>
      </c>
      <c r="F5" s="81" t="s">
        <v>115</v>
      </c>
      <c r="G5" s="81" t="s">
        <v>116</v>
      </c>
      <c r="H5" s="70"/>
      <c r="I5" s="70"/>
      <c r="J5" s="86"/>
      <c r="K5" s="188"/>
      <c r="L5" s="188"/>
      <c r="M5" s="188"/>
      <c r="N5" s="188"/>
      <c r="O5" s="188"/>
      <c r="P5" s="188"/>
      <c r="Q5" s="199" t="s">
        <v>537</v>
      </c>
      <c r="R5" s="188"/>
      <c r="S5" s="199" t="s">
        <v>537</v>
      </c>
      <c r="T5" s="188"/>
      <c r="U5" s="188"/>
      <c r="V5" s="76"/>
      <c r="W5" s="76"/>
      <c r="X5" s="76"/>
      <c r="Y5" s="76"/>
      <c r="Z5" s="76"/>
      <c r="AA5" s="76"/>
    </row>
    <row r="6" spans="1:27" ht="66" x14ac:dyDescent="0.3">
      <c r="A6" s="149" t="s">
        <v>271</v>
      </c>
      <c r="B6" s="153" t="s">
        <v>98</v>
      </c>
      <c r="C6" s="149" t="s">
        <v>272</v>
      </c>
      <c r="D6" s="116" t="s">
        <v>894</v>
      </c>
      <c r="E6" s="149" t="s">
        <v>895</v>
      </c>
      <c r="F6" s="81" t="s">
        <v>115</v>
      </c>
      <c r="G6" s="81" t="s">
        <v>116</v>
      </c>
      <c r="H6" s="70"/>
      <c r="I6" s="70"/>
      <c r="J6" s="86"/>
      <c r="K6" s="188"/>
      <c r="L6" s="188"/>
      <c r="M6" s="188"/>
      <c r="N6" s="188"/>
      <c r="O6" s="188"/>
      <c r="P6" s="188"/>
      <c r="Q6" s="199" t="s">
        <v>537</v>
      </c>
      <c r="R6" s="188"/>
      <c r="S6" s="199" t="s">
        <v>537</v>
      </c>
      <c r="T6" s="188"/>
      <c r="U6" s="188"/>
      <c r="V6" s="76"/>
      <c r="W6" s="76"/>
      <c r="X6" s="76"/>
      <c r="Y6" s="76"/>
      <c r="Z6" s="76"/>
      <c r="AA6" s="76"/>
    </row>
    <row r="7" spans="1:27" ht="82.5" x14ac:dyDescent="0.3">
      <c r="A7" s="149" t="s">
        <v>273</v>
      </c>
      <c r="B7" s="153" t="s">
        <v>98</v>
      </c>
      <c r="C7" s="149" t="s">
        <v>274</v>
      </c>
      <c r="D7" s="116" t="s">
        <v>896</v>
      </c>
      <c r="E7" s="173" t="s">
        <v>897</v>
      </c>
      <c r="F7" s="81" t="s">
        <v>115</v>
      </c>
      <c r="G7" s="81" t="s">
        <v>116</v>
      </c>
      <c r="H7" s="70"/>
      <c r="I7" s="70"/>
      <c r="J7" s="86"/>
      <c r="K7" s="188"/>
      <c r="L7" s="188"/>
      <c r="M7" s="188"/>
      <c r="N7" s="188"/>
      <c r="O7" s="188"/>
      <c r="P7" s="188"/>
      <c r="Q7" s="199" t="s">
        <v>537</v>
      </c>
      <c r="R7" s="188"/>
      <c r="S7" s="199" t="s">
        <v>537</v>
      </c>
      <c r="T7" s="188"/>
      <c r="U7" s="188"/>
      <c r="V7" s="76"/>
      <c r="W7" s="76"/>
      <c r="X7" s="76"/>
      <c r="Y7" s="76"/>
      <c r="Z7" s="76"/>
      <c r="AA7" s="76"/>
    </row>
    <row r="8" spans="1:27" ht="148.5" x14ac:dyDescent="0.3">
      <c r="A8" s="173" t="s">
        <v>276</v>
      </c>
      <c r="B8" s="153" t="s">
        <v>98</v>
      </c>
      <c r="C8" s="173" t="s">
        <v>124</v>
      </c>
      <c r="D8" s="70" t="s">
        <v>898</v>
      </c>
      <c r="E8" s="149" t="s">
        <v>899</v>
      </c>
      <c r="F8" s="81" t="s">
        <v>115</v>
      </c>
      <c r="G8" s="81" t="s">
        <v>116</v>
      </c>
      <c r="H8" s="70"/>
      <c r="I8" s="70"/>
      <c r="J8" s="86"/>
      <c r="K8" s="188"/>
      <c r="L8" s="188"/>
      <c r="M8" s="188"/>
      <c r="N8" s="188"/>
      <c r="O8" s="188"/>
      <c r="P8" s="188"/>
      <c r="Q8" s="199" t="s">
        <v>537</v>
      </c>
      <c r="R8" s="188"/>
      <c r="S8" s="199" t="s">
        <v>537</v>
      </c>
      <c r="T8" s="188"/>
      <c r="U8" s="188"/>
      <c r="V8" s="76"/>
      <c r="W8" s="76"/>
      <c r="X8" s="76"/>
      <c r="Y8" s="76"/>
      <c r="Z8" s="76"/>
      <c r="AA8" s="76"/>
    </row>
    <row r="9" spans="1:27" ht="181.5" x14ac:dyDescent="0.3">
      <c r="A9" s="149" t="s">
        <v>277</v>
      </c>
      <c r="B9" s="153" t="s">
        <v>98</v>
      </c>
      <c r="C9" s="149" t="s">
        <v>278</v>
      </c>
      <c r="D9" s="116" t="s">
        <v>900</v>
      </c>
      <c r="E9" s="149" t="s">
        <v>901</v>
      </c>
      <c r="F9" s="81" t="s">
        <v>115</v>
      </c>
      <c r="G9" s="81" t="s">
        <v>116</v>
      </c>
      <c r="H9" s="70"/>
      <c r="I9" s="70"/>
      <c r="J9" s="86"/>
      <c r="K9" s="188"/>
      <c r="L9" s="188"/>
      <c r="M9" s="188"/>
      <c r="N9" s="188"/>
      <c r="O9" s="188"/>
      <c r="P9" s="188"/>
      <c r="Q9" s="199" t="s">
        <v>537</v>
      </c>
      <c r="R9" s="188"/>
      <c r="S9" s="199" t="s">
        <v>537</v>
      </c>
      <c r="T9" s="188"/>
      <c r="U9" s="188"/>
      <c r="V9" s="76"/>
      <c r="W9" s="76"/>
      <c r="X9" s="76"/>
      <c r="Y9" s="76"/>
      <c r="Z9" s="76"/>
      <c r="AA9" s="76"/>
    </row>
    <row r="10" spans="1:27" ht="148.5" x14ac:dyDescent="0.3">
      <c r="A10" s="149" t="s">
        <v>280</v>
      </c>
      <c r="B10" s="116" t="s">
        <v>98</v>
      </c>
      <c r="C10" s="114" t="s">
        <v>281</v>
      </c>
      <c r="D10" s="116" t="s">
        <v>902</v>
      </c>
      <c r="E10" s="69" t="s">
        <v>903</v>
      </c>
      <c r="F10" s="81" t="s">
        <v>115</v>
      </c>
      <c r="G10" s="81" t="s">
        <v>116</v>
      </c>
      <c r="H10" s="70"/>
      <c r="I10" s="70"/>
      <c r="J10" s="86"/>
      <c r="K10" s="188"/>
      <c r="L10" s="188"/>
      <c r="M10" s="188"/>
      <c r="N10" s="188"/>
      <c r="O10" s="188"/>
      <c r="P10" s="188"/>
      <c r="Q10" s="199" t="s">
        <v>537</v>
      </c>
      <c r="R10" s="188"/>
      <c r="S10" s="199" t="s">
        <v>537</v>
      </c>
      <c r="T10" s="188"/>
      <c r="U10" s="188"/>
      <c r="V10" s="76"/>
      <c r="W10" s="76"/>
      <c r="X10" s="76"/>
      <c r="Y10" s="76"/>
      <c r="Z10" s="76"/>
      <c r="AA10" s="76"/>
    </row>
    <row r="11" spans="1:27" ht="247.5" x14ac:dyDescent="0.3">
      <c r="A11" s="200" t="s">
        <v>282</v>
      </c>
      <c r="B11" s="106" t="s">
        <v>98</v>
      </c>
      <c r="C11" s="107" t="s">
        <v>283</v>
      </c>
      <c r="D11" s="106" t="s">
        <v>904</v>
      </c>
      <c r="E11" s="107" t="s">
        <v>905</v>
      </c>
      <c r="F11" s="108" t="s">
        <v>115</v>
      </c>
      <c r="G11" s="81" t="s">
        <v>116</v>
      </c>
      <c r="H11" s="70"/>
      <c r="I11" s="70"/>
      <c r="J11" s="86"/>
      <c r="K11" s="188"/>
      <c r="L11" s="188"/>
      <c r="M11" s="188"/>
      <c r="N11" s="188"/>
      <c r="O11" s="188"/>
      <c r="P11" s="188"/>
      <c r="Q11" s="199" t="s">
        <v>537</v>
      </c>
      <c r="R11" s="188"/>
      <c r="S11" s="199" t="s">
        <v>537</v>
      </c>
      <c r="T11" s="188"/>
      <c r="U11" s="188"/>
      <c r="V11" s="76"/>
      <c r="W11" s="76"/>
      <c r="X11" s="76"/>
      <c r="Y11" s="76"/>
      <c r="Z11" s="76"/>
      <c r="AA11" s="76"/>
    </row>
    <row r="12" spans="1:27" ht="165" x14ac:dyDescent="0.3">
      <c r="A12" s="149" t="s">
        <v>284</v>
      </c>
      <c r="B12" s="148" t="s">
        <v>98</v>
      </c>
      <c r="C12" s="149" t="s">
        <v>285</v>
      </c>
      <c r="D12" s="116" t="s">
        <v>906</v>
      </c>
      <c r="E12" s="173" t="s">
        <v>907</v>
      </c>
      <c r="F12" s="81" t="s">
        <v>115</v>
      </c>
      <c r="G12" s="81" t="s">
        <v>116</v>
      </c>
      <c r="H12" s="70"/>
      <c r="I12" s="70"/>
      <c r="J12" s="86"/>
      <c r="K12" s="188"/>
      <c r="L12" s="188"/>
      <c r="M12" s="188"/>
      <c r="N12" s="188"/>
      <c r="O12" s="188"/>
      <c r="P12" s="188"/>
      <c r="Q12" s="199" t="s">
        <v>537</v>
      </c>
      <c r="R12" s="188"/>
      <c r="S12" s="199" t="s">
        <v>537</v>
      </c>
      <c r="T12" s="188"/>
      <c r="U12" s="188"/>
      <c r="V12" s="76"/>
      <c r="W12" s="76"/>
      <c r="X12" s="76"/>
      <c r="Y12" s="76"/>
      <c r="Z12" s="76"/>
      <c r="AA12" s="76"/>
    </row>
    <row r="13" spans="1:27" ht="231" x14ac:dyDescent="0.3">
      <c r="A13" s="201" t="s">
        <v>286</v>
      </c>
      <c r="B13" s="202" t="s">
        <v>98</v>
      </c>
      <c r="C13" s="201" t="s">
        <v>287</v>
      </c>
      <c r="D13" s="203" t="s">
        <v>908</v>
      </c>
      <c r="E13" s="103" t="s">
        <v>909</v>
      </c>
      <c r="F13" s="90" t="s">
        <v>115</v>
      </c>
      <c r="G13" s="117" t="s">
        <v>116</v>
      </c>
      <c r="H13" s="70"/>
      <c r="I13" s="70"/>
      <c r="J13" s="86"/>
      <c r="K13" s="188"/>
      <c r="L13" s="188"/>
      <c r="M13" s="188"/>
      <c r="N13" s="188"/>
      <c r="O13" s="188"/>
      <c r="P13" s="188"/>
      <c r="Q13" s="199" t="s">
        <v>537</v>
      </c>
      <c r="R13" s="188"/>
      <c r="S13" s="199" t="s">
        <v>537</v>
      </c>
      <c r="T13" s="188"/>
      <c r="U13" s="188"/>
      <c r="V13" s="76"/>
      <c r="W13" s="76"/>
      <c r="X13" s="76"/>
      <c r="Y13" s="76"/>
      <c r="Z13" s="76"/>
      <c r="AA13" s="76"/>
    </row>
    <row r="14" spans="1:27" ht="66" x14ac:dyDescent="0.3">
      <c r="A14" s="114" t="s">
        <v>288</v>
      </c>
      <c r="B14" s="116" t="s">
        <v>98</v>
      </c>
      <c r="C14" s="114" t="s">
        <v>269</v>
      </c>
      <c r="D14" s="116" t="s">
        <v>910</v>
      </c>
      <c r="E14" s="149" t="s">
        <v>891</v>
      </c>
      <c r="F14" s="81" t="s">
        <v>115</v>
      </c>
      <c r="G14" s="81" t="s">
        <v>131</v>
      </c>
      <c r="H14" s="70"/>
      <c r="I14" s="70"/>
      <c r="J14" s="86"/>
      <c r="K14" s="199"/>
      <c r="L14" s="199"/>
      <c r="M14" s="199"/>
      <c r="N14" s="199"/>
      <c r="O14" s="199"/>
      <c r="P14" s="199"/>
      <c r="Q14" s="199" t="s">
        <v>537</v>
      </c>
      <c r="R14" s="199"/>
      <c r="S14" s="199" t="s">
        <v>537</v>
      </c>
      <c r="T14" s="188"/>
      <c r="U14" s="188"/>
      <c r="V14" s="76"/>
      <c r="W14" s="76"/>
      <c r="X14" s="76"/>
      <c r="Y14" s="76"/>
      <c r="Z14" s="76"/>
      <c r="AA14" s="76"/>
    </row>
    <row r="15" spans="1:27" ht="66" x14ac:dyDescent="0.3">
      <c r="A15" s="114" t="s">
        <v>289</v>
      </c>
      <c r="B15" s="116" t="s">
        <v>98</v>
      </c>
      <c r="C15" s="114" t="s">
        <v>269</v>
      </c>
      <c r="D15" s="116" t="s">
        <v>911</v>
      </c>
      <c r="E15" s="149" t="s">
        <v>891</v>
      </c>
      <c r="F15" s="81" t="s">
        <v>115</v>
      </c>
      <c r="G15" s="81" t="s">
        <v>116</v>
      </c>
      <c r="H15" s="70"/>
      <c r="I15" s="70"/>
      <c r="J15" s="86"/>
      <c r="K15" s="199" t="s">
        <v>537</v>
      </c>
      <c r="L15" s="199" t="s">
        <v>537</v>
      </c>
      <c r="M15" s="199" t="s">
        <v>537</v>
      </c>
      <c r="N15" s="199" t="s">
        <v>537</v>
      </c>
      <c r="O15" s="199" t="s">
        <v>537</v>
      </c>
      <c r="P15" s="199" t="s">
        <v>537</v>
      </c>
      <c r="Q15" s="199" t="s">
        <v>537</v>
      </c>
      <c r="R15" s="199" t="s">
        <v>537</v>
      </c>
      <c r="S15" s="199" t="s">
        <v>537</v>
      </c>
      <c r="T15" s="188"/>
      <c r="U15" s="188"/>
      <c r="V15" s="76"/>
      <c r="W15" s="76"/>
      <c r="X15" s="76"/>
      <c r="Y15" s="76"/>
      <c r="Z15" s="76"/>
      <c r="AA15" s="76"/>
    </row>
    <row r="16" spans="1:27" ht="66" x14ac:dyDescent="0.3">
      <c r="A16" s="114" t="s">
        <v>290</v>
      </c>
      <c r="B16" s="116" t="s">
        <v>98</v>
      </c>
      <c r="C16" s="114" t="s">
        <v>121</v>
      </c>
      <c r="D16" s="116" t="s">
        <v>912</v>
      </c>
      <c r="E16" s="149" t="s">
        <v>893</v>
      </c>
      <c r="F16" s="81" t="s">
        <v>115</v>
      </c>
      <c r="G16" s="81" t="s">
        <v>237</v>
      </c>
      <c r="H16" s="70"/>
      <c r="I16" s="70"/>
      <c r="J16" s="86"/>
      <c r="K16" s="188"/>
      <c r="L16" s="188"/>
      <c r="M16" s="188"/>
      <c r="N16" s="188"/>
      <c r="O16" s="188"/>
      <c r="P16" s="188"/>
      <c r="Q16" s="199" t="s">
        <v>537</v>
      </c>
      <c r="R16" s="188"/>
      <c r="S16" s="199" t="s">
        <v>537</v>
      </c>
      <c r="T16" s="188"/>
      <c r="U16" s="188"/>
      <c r="V16" s="76"/>
      <c r="W16" s="76"/>
      <c r="X16" s="76"/>
      <c r="Y16" s="76"/>
      <c r="Z16" s="76"/>
      <c r="AA16" s="76"/>
    </row>
    <row r="17" spans="1:27" ht="66" x14ac:dyDescent="0.3">
      <c r="A17" s="114" t="s">
        <v>291</v>
      </c>
      <c r="B17" s="116" t="s">
        <v>98</v>
      </c>
      <c r="C17" s="114" t="s">
        <v>121</v>
      </c>
      <c r="D17" s="116" t="s">
        <v>913</v>
      </c>
      <c r="E17" s="149" t="s">
        <v>893</v>
      </c>
      <c r="F17" s="81" t="s">
        <v>115</v>
      </c>
      <c r="G17" s="81" t="s">
        <v>116</v>
      </c>
      <c r="H17" s="70"/>
      <c r="I17" s="70"/>
      <c r="J17" s="86"/>
      <c r="K17" s="199" t="s">
        <v>537</v>
      </c>
      <c r="L17" s="199" t="s">
        <v>537</v>
      </c>
      <c r="M17" s="199" t="s">
        <v>537</v>
      </c>
      <c r="N17" s="199" t="s">
        <v>537</v>
      </c>
      <c r="O17" s="199" t="s">
        <v>537</v>
      </c>
      <c r="P17" s="199" t="s">
        <v>537</v>
      </c>
      <c r="Q17" s="199" t="s">
        <v>537</v>
      </c>
      <c r="R17" s="199" t="s">
        <v>537</v>
      </c>
      <c r="S17" s="199" t="s">
        <v>537</v>
      </c>
      <c r="T17" s="188"/>
      <c r="U17" s="188"/>
      <c r="V17" s="76"/>
      <c r="W17" s="76"/>
      <c r="X17" s="76"/>
      <c r="Y17" s="76"/>
      <c r="Z17" s="76"/>
      <c r="AA17" s="76"/>
    </row>
    <row r="18" spans="1:27" ht="49.5" x14ac:dyDescent="0.3">
      <c r="A18" s="114" t="s">
        <v>292</v>
      </c>
      <c r="B18" s="116" t="s">
        <v>98</v>
      </c>
      <c r="C18" s="114" t="s">
        <v>272</v>
      </c>
      <c r="D18" s="116" t="s">
        <v>914</v>
      </c>
      <c r="E18" s="149" t="s">
        <v>895</v>
      </c>
      <c r="F18" s="81" t="s">
        <v>115</v>
      </c>
      <c r="G18" s="81" t="s">
        <v>150</v>
      </c>
      <c r="H18" s="70"/>
      <c r="I18" s="70"/>
      <c r="J18" s="86"/>
      <c r="K18" s="188"/>
      <c r="L18" s="188"/>
      <c r="M18" s="188"/>
      <c r="N18" s="188"/>
      <c r="O18" s="188"/>
      <c r="P18" s="188"/>
      <c r="Q18" s="199" t="s">
        <v>537</v>
      </c>
      <c r="R18" s="188"/>
      <c r="S18" s="199" t="s">
        <v>537</v>
      </c>
      <c r="T18" s="188"/>
      <c r="U18" s="188"/>
      <c r="V18" s="76"/>
      <c r="W18" s="76"/>
      <c r="X18" s="76"/>
      <c r="Y18" s="76"/>
      <c r="Z18" s="76"/>
      <c r="AA18" s="76"/>
    </row>
    <row r="19" spans="1:27" ht="49.5" x14ac:dyDescent="0.3">
      <c r="A19" s="114" t="s">
        <v>293</v>
      </c>
      <c r="B19" s="116" t="s">
        <v>98</v>
      </c>
      <c r="C19" s="114" t="s">
        <v>272</v>
      </c>
      <c r="D19" s="116" t="s">
        <v>660</v>
      </c>
      <c r="E19" s="149" t="s">
        <v>895</v>
      </c>
      <c r="F19" s="81" t="s">
        <v>115</v>
      </c>
      <c r="G19" s="81" t="s">
        <v>116</v>
      </c>
      <c r="H19" s="91"/>
      <c r="I19" s="91"/>
      <c r="J19" s="91"/>
      <c r="K19" s="199" t="s">
        <v>537</v>
      </c>
      <c r="L19" s="199" t="s">
        <v>537</v>
      </c>
      <c r="M19" s="199" t="s">
        <v>537</v>
      </c>
      <c r="N19" s="199" t="s">
        <v>537</v>
      </c>
      <c r="O19" s="199" t="s">
        <v>537</v>
      </c>
      <c r="P19" s="199" t="s">
        <v>537</v>
      </c>
      <c r="Q19" s="199" t="s">
        <v>537</v>
      </c>
      <c r="R19" s="199" t="s">
        <v>537</v>
      </c>
      <c r="S19" s="199" t="s">
        <v>537</v>
      </c>
      <c r="T19" s="188"/>
      <c r="U19" s="188"/>
      <c r="V19" s="76"/>
      <c r="W19" s="76"/>
      <c r="X19" s="76"/>
      <c r="Y19" s="76"/>
      <c r="Z19" s="76"/>
      <c r="AA19" s="76"/>
    </row>
    <row r="20" spans="1:27" ht="82.5" x14ac:dyDescent="0.3">
      <c r="A20" s="114" t="s">
        <v>294</v>
      </c>
      <c r="B20" s="116" t="s">
        <v>98</v>
      </c>
      <c r="C20" s="114" t="s">
        <v>274</v>
      </c>
      <c r="D20" s="116" t="s">
        <v>915</v>
      </c>
      <c r="E20" s="173" t="s">
        <v>897</v>
      </c>
      <c r="F20" s="81" t="s">
        <v>115</v>
      </c>
      <c r="G20" s="81" t="s">
        <v>131</v>
      </c>
      <c r="H20" s="91"/>
      <c r="I20" s="91"/>
      <c r="J20" s="91"/>
      <c r="K20" s="188"/>
      <c r="L20" s="188"/>
      <c r="M20" s="188"/>
      <c r="N20" s="188"/>
      <c r="O20" s="188"/>
      <c r="P20" s="188"/>
      <c r="Q20" s="199" t="s">
        <v>537</v>
      </c>
      <c r="R20" s="188"/>
      <c r="S20" s="199" t="s">
        <v>537</v>
      </c>
      <c r="T20" s="188"/>
      <c r="U20" s="188"/>
      <c r="V20" s="76"/>
      <c r="W20" s="76"/>
      <c r="X20" s="76"/>
      <c r="Y20" s="76"/>
      <c r="Z20" s="76"/>
      <c r="AA20" s="76"/>
    </row>
    <row r="21" spans="1:27" ht="82.5" x14ac:dyDescent="0.3">
      <c r="A21" s="114" t="s">
        <v>295</v>
      </c>
      <c r="B21" s="116" t="s">
        <v>98</v>
      </c>
      <c r="C21" s="114" t="s">
        <v>274</v>
      </c>
      <c r="D21" s="116" t="s">
        <v>916</v>
      </c>
      <c r="E21" s="173" t="s">
        <v>897</v>
      </c>
      <c r="F21" s="81" t="s">
        <v>115</v>
      </c>
      <c r="G21" s="81" t="s">
        <v>116</v>
      </c>
      <c r="H21" s="91"/>
      <c r="I21" s="91"/>
      <c r="J21" s="91"/>
      <c r="K21" s="199" t="s">
        <v>537</v>
      </c>
      <c r="L21" s="199" t="s">
        <v>537</v>
      </c>
      <c r="M21" s="199" t="s">
        <v>537</v>
      </c>
      <c r="N21" s="199" t="s">
        <v>537</v>
      </c>
      <c r="O21" s="199" t="s">
        <v>537</v>
      </c>
      <c r="P21" s="199" t="s">
        <v>537</v>
      </c>
      <c r="Q21" s="199" t="s">
        <v>537</v>
      </c>
      <c r="R21" s="199" t="s">
        <v>537</v>
      </c>
      <c r="S21" s="199" t="s">
        <v>537</v>
      </c>
      <c r="T21" s="188"/>
      <c r="U21" s="188"/>
      <c r="V21" s="76"/>
      <c r="W21" s="76"/>
      <c r="X21" s="76"/>
      <c r="Y21" s="76"/>
      <c r="Z21" s="76"/>
      <c r="AA21" s="76"/>
    </row>
    <row r="22" spans="1:27" ht="148.5" x14ac:dyDescent="0.3">
      <c r="A22" s="69" t="s">
        <v>296</v>
      </c>
      <c r="B22" s="70" t="s">
        <v>98</v>
      </c>
      <c r="C22" s="69" t="s">
        <v>124</v>
      </c>
      <c r="D22" s="70" t="s">
        <v>917</v>
      </c>
      <c r="E22" s="149" t="s">
        <v>899</v>
      </c>
      <c r="F22" s="81" t="s">
        <v>115</v>
      </c>
      <c r="G22" s="81" t="s">
        <v>240</v>
      </c>
      <c r="H22" s="91"/>
      <c r="I22" s="91"/>
      <c r="J22" s="91"/>
      <c r="K22" s="188"/>
      <c r="L22" s="188"/>
      <c r="M22" s="188"/>
      <c r="N22" s="188"/>
      <c r="O22" s="188"/>
      <c r="P22" s="188"/>
      <c r="Q22" s="199" t="s">
        <v>537</v>
      </c>
      <c r="R22" s="188"/>
      <c r="S22" s="199" t="s">
        <v>537</v>
      </c>
      <c r="T22" s="188"/>
      <c r="U22" s="188"/>
      <c r="V22" s="76"/>
      <c r="W22" s="76"/>
      <c r="X22" s="76"/>
      <c r="Y22" s="76"/>
      <c r="Z22" s="76"/>
      <c r="AA22" s="76"/>
    </row>
    <row r="23" spans="1:27" ht="148.5" x14ac:dyDescent="0.3">
      <c r="A23" s="69" t="s">
        <v>297</v>
      </c>
      <c r="B23" s="70" t="s">
        <v>98</v>
      </c>
      <c r="C23" s="69" t="s">
        <v>124</v>
      </c>
      <c r="D23" s="70" t="s">
        <v>721</v>
      </c>
      <c r="E23" s="149" t="s">
        <v>899</v>
      </c>
      <c r="F23" s="81" t="s">
        <v>115</v>
      </c>
      <c r="G23" s="81" t="s">
        <v>116</v>
      </c>
      <c r="H23" s="91"/>
      <c r="I23" s="91"/>
      <c r="J23" s="91"/>
      <c r="K23" s="199" t="s">
        <v>537</v>
      </c>
      <c r="L23" s="199" t="s">
        <v>537</v>
      </c>
      <c r="M23" s="199" t="s">
        <v>537</v>
      </c>
      <c r="N23" s="199" t="s">
        <v>537</v>
      </c>
      <c r="O23" s="199" t="s">
        <v>537</v>
      </c>
      <c r="P23" s="199" t="s">
        <v>537</v>
      </c>
      <c r="Q23" s="199" t="s">
        <v>537</v>
      </c>
      <c r="R23" s="199" t="s">
        <v>537</v>
      </c>
      <c r="S23" s="199" t="s">
        <v>537</v>
      </c>
      <c r="T23" s="188"/>
      <c r="U23" s="188"/>
      <c r="V23" s="76"/>
      <c r="W23" s="76"/>
      <c r="X23" s="76"/>
      <c r="Y23" s="76"/>
      <c r="Z23" s="76"/>
      <c r="AA23" s="76"/>
    </row>
    <row r="24" spans="1:27" ht="181.5" x14ac:dyDescent="0.3">
      <c r="A24" s="114" t="s">
        <v>298</v>
      </c>
      <c r="B24" s="116" t="s">
        <v>98</v>
      </c>
      <c r="C24" s="114" t="s">
        <v>278</v>
      </c>
      <c r="D24" s="116" t="s">
        <v>918</v>
      </c>
      <c r="E24" s="149" t="s">
        <v>901</v>
      </c>
      <c r="F24" s="81" t="s">
        <v>115</v>
      </c>
      <c r="G24" s="81" t="s">
        <v>131</v>
      </c>
      <c r="H24" s="91"/>
      <c r="I24" s="91"/>
      <c r="J24" s="91"/>
      <c r="K24" s="188"/>
      <c r="L24" s="188"/>
      <c r="M24" s="188"/>
      <c r="N24" s="188"/>
      <c r="O24" s="188"/>
      <c r="P24" s="188"/>
      <c r="Q24" s="199" t="s">
        <v>537</v>
      </c>
      <c r="R24" s="188"/>
      <c r="S24" s="199" t="s">
        <v>537</v>
      </c>
      <c r="T24" s="188"/>
      <c r="U24" s="188"/>
      <c r="V24" s="76"/>
      <c r="W24" s="76"/>
      <c r="X24" s="76"/>
      <c r="Y24" s="76"/>
      <c r="Z24" s="76"/>
      <c r="AA24" s="76"/>
    </row>
    <row r="25" spans="1:27" ht="181.5" x14ac:dyDescent="0.3">
      <c r="A25" s="114" t="s">
        <v>299</v>
      </c>
      <c r="B25" s="116" t="s">
        <v>98</v>
      </c>
      <c r="C25" s="114" t="s">
        <v>278</v>
      </c>
      <c r="D25" s="116" t="s">
        <v>919</v>
      </c>
      <c r="E25" s="149" t="s">
        <v>901</v>
      </c>
      <c r="F25" s="81" t="s">
        <v>115</v>
      </c>
      <c r="G25" s="81" t="s">
        <v>116</v>
      </c>
      <c r="H25" s="91"/>
      <c r="I25" s="91"/>
      <c r="J25" s="91"/>
      <c r="K25" s="199" t="s">
        <v>537</v>
      </c>
      <c r="L25" s="199" t="s">
        <v>537</v>
      </c>
      <c r="M25" s="199" t="s">
        <v>537</v>
      </c>
      <c r="N25" s="199" t="s">
        <v>537</v>
      </c>
      <c r="O25" s="199" t="s">
        <v>537</v>
      </c>
      <c r="P25" s="199" t="s">
        <v>537</v>
      </c>
      <c r="Q25" s="199" t="s">
        <v>537</v>
      </c>
      <c r="R25" s="199" t="s">
        <v>537</v>
      </c>
      <c r="S25" s="199" t="s">
        <v>537</v>
      </c>
      <c r="T25" s="188"/>
      <c r="U25" s="188"/>
      <c r="V25" s="76"/>
      <c r="W25" s="76"/>
      <c r="X25" s="76"/>
      <c r="Y25" s="76"/>
      <c r="Z25" s="76"/>
      <c r="AA25" s="76"/>
    </row>
    <row r="26" spans="1:27" ht="148.5" x14ac:dyDescent="0.3">
      <c r="A26" s="114" t="s">
        <v>300</v>
      </c>
      <c r="B26" s="116" t="s">
        <v>98</v>
      </c>
      <c r="C26" s="114" t="s">
        <v>281</v>
      </c>
      <c r="D26" s="116" t="s">
        <v>920</v>
      </c>
      <c r="E26" s="69" t="s">
        <v>903</v>
      </c>
      <c r="F26" s="81" t="s">
        <v>115</v>
      </c>
      <c r="G26" s="81" t="s">
        <v>116</v>
      </c>
      <c r="H26" s="91"/>
      <c r="I26" s="91"/>
      <c r="J26" s="91"/>
      <c r="K26" s="188"/>
      <c r="L26" s="188"/>
      <c r="M26" s="188"/>
      <c r="N26" s="188"/>
      <c r="O26" s="188"/>
      <c r="P26" s="188"/>
      <c r="Q26" s="199" t="s">
        <v>537</v>
      </c>
      <c r="R26" s="188"/>
      <c r="S26" s="199" t="s">
        <v>537</v>
      </c>
      <c r="T26" s="188"/>
      <c r="U26" s="188"/>
      <c r="V26" s="76"/>
      <c r="W26" s="76"/>
      <c r="X26" s="76"/>
      <c r="Y26" s="76"/>
      <c r="Z26" s="76"/>
      <c r="AA26" s="76"/>
    </row>
    <row r="27" spans="1:27" ht="148.5" x14ac:dyDescent="0.3">
      <c r="A27" s="114" t="s">
        <v>301</v>
      </c>
      <c r="B27" s="116" t="s">
        <v>98</v>
      </c>
      <c r="C27" s="114" t="s">
        <v>281</v>
      </c>
      <c r="D27" s="116" t="s">
        <v>921</v>
      </c>
      <c r="E27" s="69" t="s">
        <v>903</v>
      </c>
      <c r="F27" s="81" t="s">
        <v>115</v>
      </c>
      <c r="G27" s="81" t="s">
        <v>116</v>
      </c>
      <c r="H27" s="91"/>
      <c r="I27" s="91"/>
      <c r="J27" s="91"/>
      <c r="K27" s="199" t="s">
        <v>537</v>
      </c>
      <c r="L27" s="199" t="s">
        <v>537</v>
      </c>
      <c r="M27" s="199" t="s">
        <v>537</v>
      </c>
      <c r="N27" s="199" t="s">
        <v>537</v>
      </c>
      <c r="O27" s="199" t="s">
        <v>537</v>
      </c>
      <c r="P27" s="199" t="s">
        <v>537</v>
      </c>
      <c r="Q27" s="199" t="s">
        <v>537</v>
      </c>
      <c r="R27" s="199" t="s">
        <v>537</v>
      </c>
      <c r="S27" s="199" t="s">
        <v>537</v>
      </c>
      <c r="T27" s="188"/>
      <c r="U27" s="188"/>
      <c r="V27" s="76"/>
      <c r="W27" s="76"/>
      <c r="X27" s="76"/>
      <c r="Y27" s="76"/>
      <c r="Z27" s="76"/>
      <c r="AA27" s="76"/>
    </row>
    <row r="28" spans="1:27" ht="247.5" x14ac:dyDescent="0.3">
      <c r="A28" s="204" t="s">
        <v>302</v>
      </c>
      <c r="B28" s="106" t="s">
        <v>98</v>
      </c>
      <c r="C28" s="107" t="s">
        <v>283</v>
      </c>
      <c r="D28" s="106" t="s">
        <v>922</v>
      </c>
      <c r="E28" s="107" t="s">
        <v>905</v>
      </c>
      <c r="F28" s="108" t="s">
        <v>115</v>
      </c>
      <c r="G28" s="81" t="s">
        <v>116</v>
      </c>
      <c r="H28" s="91"/>
      <c r="I28" s="91"/>
      <c r="J28" s="91"/>
      <c r="K28" s="188"/>
      <c r="L28" s="188"/>
      <c r="M28" s="188"/>
      <c r="N28" s="188"/>
      <c r="O28" s="188"/>
      <c r="P28" s="188"/>
      <c r="Q28" s="199" t="s">
        <v>537</v>
      </c>
      <c r="R28" s="188"/>
      <c r="S28" s="188"/>
      <c r="T28" s="188"/>
      <c r="U28" s="188"/>
      <c r="V28" s="76"/>
      <c r="W28" s="76"/>
      <c r="X28" s="76"/>
      <c r="Y28" s="76"/>
      <c r="Z28" s="76"/>
      <c r="AA28" s="76"/>
    </row>
    <row r="29" spans="1:27" ht="247.5" x14ac:dyDescent="0.3">
      <c r="A29" s="204" t="s">
        <v>303</v>
      </c>
      <c r="B29" s="106" t="s">
        <v>98</v>
      </c>
      <c r="C29" s="107" t="s">
        <v>283</v>
      </c>
      <c r="D29" s="106" t="s">
        <v>923</v>
      </c>
      <c r="E29" s="107" t="s">
        <v>905</v>
      </c>
      <c r="F29" s="108" t="s">
        <v>115</v>
      </c>
      <c r="G29" s="81" t="s">
        <v>116</v>
      </c>
      <c r="H29" s="91"/>
      <c r="I29" s="91"/>
      <c r="J29" s="91"/>
      <c r="K29" s="199" t="s">
        <v>537</v>
      </c>
      <c r="L29" s="199" t="s">
        <v>537</v>
      </c>
      <c r="M29" s="199" t="s">
        <v>537</v>
      </c>
      <c r="N29" s="199" t="s">
        <v>537</v>
      </c>
      <c r="O29" s="199" t="s">
        <v>537</v>
      </c>
      <c r="P29" s="199" t="s">
        <v>537</v>
      </c>
      <c r="Q29" s="199" t="s">
        <v>537</v>
      </c>
      <c r="R29" s="199" t="s">
        <v>537</v>
      </c>
      <c r="S29" s="199" t="s">
        <v>537</v>
      </c>
      <c r="T29" s="188"/>
      <c r="U29" s="188"/>
      <c r="V29" s="76"/>
      <c r="W29" s="76"/>
      <c r="X29" s="76"/>
      <c r="Y29" s="76"/>
      <c r="Z29" s="76"/>
      <c r="AA29" s="76"/>
    </row>
    <row r="30" spans="1:27" ht="165" x14ac:dyDescent="0.3">
      <c r="A30" s="114" t="s">
        <v>304</v>
      </c>
      <c r="B30" s="116" t="s">
        <v>98</v>
      </c>
      <c r="C30" s="114" t="s">
        <v>285</v>
      </c>
      <c r="D30" s="116" t="s">
        <v>924</v>
      </c>
      <c r="E30" s="173" t="s">
        <v>907</v>
      </c>
      <c r="F30" s="81" t="s">
        <v>115</v>
      </c>
      <c r="G30" s="81" t="s">
        <v>116</v>
      </c>
      <c r="H30" s="91"/>
      <c r="I30" s="91"/>
      <c r="J30" s="91"/>
      <c r="K30" s="188"/>
      <c r="L30" s="188"/>
      <c r="M30" s="188"/>
      <c r="N30" s="188"/>
      <c r="O30" s="188"/>
      <c r="P30" s="188"/>
      <c r="Q30" s="199" t="s">
        <v>537</v>
      </c>
      <c r="R30" s="188"/>
      <c r="S30" s="188"/>
      <c r="T30" s="188"/>
      <c r="U30" s="188"/>
      <c r="V30" s="76"/>
      <c r="W30" s="76"/>
      <c r="X30" s="76"/>
      <c r="Y30" s="76"/>
      <c r="Z30" s="76"/>
      <c r="AA30" s="76"/>
    </row>
    <row r="31" spans="1:27" ht="165" x14ac:dyDescent="0.3">
      <c r="A31" s="114" t="s">
        <v>305</v>
      </c>
      <c r="B31" s="116" t="s">
        <v>98</v>
      </c>
      <c r="C31" s="114" t="s">
        <v>285</v>
      </c>
      <c r="D31" s="116" t="s">
        <v>925</v>
      </c>
      <c r="E31" s="173" t="s">
        <v>907</v>
      </c>
      <c r="F31" s="81" t="s">
        <v>115</v>
      </c>
      <c r="G31" s="81" t="s">
        <v>116</v>
      </c>
      <c r="H31" s="91"/>
      <c r="I31" s="91"/>
      <c r="J31" s="91"/>
      <c r="K31" s="199" t="s">
        <v>537</v>
      </c>
      <c r="L31" s="199" t="s">
        <v>537</v>
      </c>
      <c r="M31" s="199" t="s">
        <v>537</v>
      </c>
      <c r="N31" s="199" t="s">
        <v>537</v>
      </c>
      <c r="O31" s="199" t="s">
        <v>537</v>
      </c>
      <c r="P31" s="199" t="s">
        <v>537</v>
      </c>
      <c r="Q31" s="199" t="s">
        <v>537</v>
      </c>
      <c r="R31" s="199" t="s">
        <v>537</v>
      </c>
      <c r="S31" s="199" t="s">
        <v>537</v>
      </c>
      <c r="T31" s="188"/>
      <c r="U31" s="188"/>
      <c r="V31" s="76"/>
      <c r="W31" s="76"/>
      <c r="X31" s="76"/>
      <c r="Y31" s="76"/>
      <c r="Z31" s="76"/>
      <c r="AA31" s="76"/>
    </row>
    <row r="32" spans="1:27" ht="231" x14ac:dyDescent="0.3">
      <c r="A32" s="205" t="s">
        <v>306</v>
      </c>
      <c r="B32" s="203" t="s">
        <v>98</v>
      </c>
      <c r="C32" s="205" t="s">
        <v>287</v>
      </c>
      <c r="D32" s="203" t="s">
        <v>926</v>
      </c>
      <c r="E32" s="103" t="s">
        <v>909</v>
      </c>
      <c r="F32" s="90" t="s">
        <v>115</v>
      </c>
      <c r="G32" s="117" t="s">
        <v>116</v>
      </c>
      <c r="H32" s="91"/>
      <c r="I32" s="91"/>
      <c r="J32" s="91"/>
      <c r="K32" s="188"/>
      <c r="L32" s="188"/>
      <c r="M32" s="188"/>
      <c r="N32" s="188"/>
      <c r="O32" s="188"/>
      <c r="P32" s="188"/>
      <c r="Q32" s="199" t="s">
        <v>537</v>
      </c>
      <c r="R32" s="188"/>
      <c r="S32" s="188"/>
      <c r="T32" s="188"/>
      <c r="U32" s="188"/>
      <c r="V32" s="76"/>
      <c r="W32" s="76"/>
      <c r="X32" s="76"/>
      <c r="Y32" s="76"/>
      <c r="Z32" s="76"/>
      <c r="AA32" s="76"/>
    </row>
    <row r="33" spans="1:27" ht="231" x14ac:dyDescent="0.3">
      <c r="A33" s="205" t="s">
        <v>307</v>
      </c>
      <c r="B33" s="203" t="s">
        <v>98</v>
      </c>
      <c r="C33" s="205" t="s">
        <v>287</v>
      </c>
      <c r="D33" s="203" t="s">
        <v>927</v>
      </c>
      <c r="E33" s="103" t="s">
        <v>909</v>
      </c>
      <c r="F33" s="90" t="s">
        <v>115</v>
      </c>
      <c r="G33" s="117" t="s">
        <v>116</v>
      </c>
      <c r="H33" s="91"/>
      <c r="I33" s="91"/>
      <c r="J33" s="91"/>
      <c r="K33" s="199" t="s">
        <v>537</v>
      </c>
      <c r="L33" s="199" t="s">
        <v>537</v>
      </c>
      <c r="M33" s="199" t="s">
        <v>537</v>
      </c>
      <c r="N33" s="199" t="s">
        <v>537</v>
      </c>
      <c r="O33" s="199" t="s">
        <v>537</v>
      </c>
      <c r="P33" s="199" t="s">
        <v>537</v>
      </c>
      <c r="Q33" s="199" t="s">
        <v>537</v>
      </c>
      <c r="R33" s="199" t="s">
        <v>537</v>
      </c>
      <c r="S33" s="199" t="s">
        <v>537</v>
      </c>
      <c r="T33" s="188"/>
      <c r="U33" s="188"/>
      <c r="V33" s="76"/>
      <c r="W33" s="76"/>
      <c r="X33" s="76"/>
      <c r="Y33" s="76"/>
      <c r="Z33" s="76"/>
      <c r="AA33" s="76"/>
    </row>
    <row r="34" spans="1:27" ht="66" x14ac:dyDescent="0.3">
      <c r="A34" s="69" t="s">
        <v>308</v>
      </c>
      <c r="B34" s="116" t="s">
        <v>98</v>
      </c>
      <c r="C34" s="69" t="s">
        <v>269</v>
      </c>
      <c r="D34" s="116" t="s">
        <v>928</v>
      </c>
      <c r="E34" s="149" t="s">
        <v>891</v>
      </c>
      <c r="F34" s="81" t="s">
        <v>115</v>
      </c>
      <c r="G34" s="90" t="s">
        <v>131</v>
      </c>
      <c r="H34" s="91"/>
      <c r="I34" s="91"/>
      <c r="J34" s="91"/>
      <c r="K34" s="188"/>
      <c r="L34" s="188"/>
      <c r="M34" s="188"/>
      <c r="N34" s="188"/>
      <c r="O34" s="188"/>
      <c r="P34" s="188"/>
      <c r="Q34" s="199" t="s">
        <v>537</v>
      </c>
      <c r="R34" s="188"/>
      <c r="S34" s="199" t="s">
        <v>537</v>
      </c>
      <c r="T34" s="188"/>
      <c r="U34" s="188"/>
      <c r="V34" s="76"/>
      <c r="W34" s="76"/>
      <c r="X34" s="76"/>
      <c r="Y34" s="76"/>
      <c r="Z34" s="76"/>
      <c r="AA34" s="76"/>
    </row>
    <row r="35" spans="1:27" ht="66" x14ac:dyDescent="0.3">
      <c r="A35" s="69" t="s">
        <v>309</v>
      </c>
      <c r="B35" s="116" t="s">
        <v>98</v>
      </c>
      <c r="C35" s="69" t="s">
        <v>269</v>
      </c>
      <c r="D35" s="116" t="s">
        <v>929</v>
      </c>
      <c r="E35" s="149" t="s">
        <v>891</v>
      </c>
      <c r="F35" s="81" t="s">
        <v>115</v>
      </c>
      <c r="G35" s="90" t="s">
        <v>116</v>
      </c>
      <c r="H35" s="91"/>
      <c r="I35" s="91"/>
      <c r="J35" s="91"/>
      <c r="K35" s="199" t="s">
        <v>537</v>
      </c>
      <c r="L35" s="199" t="s">
        <v>537</v>
      </c>
      <c r="M35" s="199" t="s">
        <v>537</v>
      </c>
      <c r="N35" s="199" t="s">
        <v>537</v>
      </c>
      <c r="O35" s="199" t="s">
        <v>537</v>
      </c>
      <c r="P35" s="199" t="s">
        <v>537</v>
      </c>
      <c r="Q35" s="199" t="s">
        <v>537</v>
      </c>
      <c r="R35" s="199" t="s">
        <v>537</v>
      </c>
      <c r="S35" s="199" t="s">
        <v>537</v>
      </c>
      <c r="T35" s="188"/>
      <c r="U35" s="188"/>
      <c r="V35" s="76"/>
      <c r="W35" s="76"/>
      <c r="X35" s="76"/>
      <c r="Y35" s="76"/>
      <c r="Z35" s="76"/>
      <c r="AA35" s="76"/>
    </row>
    <row r="36" spans="1:27" ht="66" x14ac:dyDescent="0.3">
      <c r="A36" s="69" t="s">
        <v>310</v>
      </c>
      <c r="B36" s="116" t="s">
        <v>98</v>
      </c>
      <c r="C36" s="69" t="s">
        <v>121</v>
      </c>
      <c r="D36" s="116" t="s">
        <v>930</v>
      </c>
      <c r="E36" s="149" t="s">
        <v>893</v>
      </c>
      <c r="F36" s="81" t="s">
        <v>115</v>
      </c>
      <c r="G36" s="90" t="s">
        <v>237</v>
      </c>
      <c r="H36" s="91"/>
      <c r="I36" s="91"/>
      <c r="J36" s="91"/>
      <c r="K36" s="188"/>
      <c r="L36" s="188"/>
      <c r="M36" s="188"/>
      <c r="N36" s="188"/>
      <c r="O36" s="188"/>
      <c r="P36" s="188"/>
      <c r="Q36" s="199" t="s">
        <v>537</v>
      </c>
      <c r="R36" s="188"/>
      <c r="S36" s="199" t="s">
        <v>537</v>
      </c>
      <c r="T36" s="188"/>
      <c r="U36" s="188"/>
      <c r="V36" s="76"/>
      <c r="W36" s="76"/>
      <c r="X36" s="76"/>
      <c r="Y36" s="76"/>
      <c r="Z36" s="76"/>
      <c r="AA36" s="76"/>
    </row>
    <row r="37" spans="1:27" ht="66" x14ac:dyDescent="0.3">
      <c r="A37" s="69" t="s">
        <v>311</v>
      </c>
      <c r="B37" s="116" t="s">
        <v>98</v>
      </c>
      <c r="C37" s="69" t="s">
        <v>121</v>
      </c>
      <c r="D37" s="116" t="s">
        <v>931</v>
      </c>
      <c r="E37" s="149" t="s">
        <v>893</v>
      </c>
      <c r="F37" s="81" t="s">
        <v>115</v>
      </c>
      <c r="G37" s="90" t="s">
        <v>116</v>
      </c>
      <c r="H37" s="91"/>
      <c r="I37" s="91"/>
      <c r="J37" s="91"/>
      <c r="K37" s="199" t="s">
        <v>537</v>
      </c>
      <c r="L37" s="199" t="s">
        <v>537</v>
      </c>
      <c r="M37" s="199" t="s">
        <v>537</v>
      </c>
      <c r="N37" s="199" t="s">
        <v>537</v>
      </c>
      <c r="O37" s="199" t="s">
        <v>537</v>
      </c>
      <c r="P37" s="199" t="s">
        <v>537</v>
      </c>
      <c r="Q37" s="199" t="s">
        <v>537</v>
      </c>
      <c r="R37" s="199" t="s">
        <v>537</v>
      </c>
      <c r="S37" s="199" t="s">
        <v>537</v>
      </c>
      <c r="T37" s="188"/>
      <c r="U37" s="188"/>
      <c r="V37" s="76"/>
      <c r="W37" s="76"/>
      <c r="X37" s="76"/>
      <c r="Y37" s="76"/>
      <c r="Z37" s="76"/>
      <c r="AA37" s="76"/>
    </row>
    <row r="38" spans="1:27" ht="49.5" x14ac:dyDescent="0.3">
      <c r="A38" s="69" t="s">
        <v>312</v>
      </c>
      <c r="B38" s="116" t="s">
        <v>98</v>
      </c>
      <c r="C38" s="69" t="s">
        <v>272</v>
      </c>
      <c r="D38" s="116" t="s">
        <v>679</v>
      </c>
      <c r="E38" s="149" t="s">
        <v>895</v>
      </c>
      <c r="F38" s="81" t="s">
        <v>115</v>
      </c>
      <c r="G38" s="81" t="s">
        <v>237</v>
      </c>
      <c r="H38" s="91"/>
      <c r="I38" s="91"/>
      <c r="J38" s="91"/>
      <c r="K38" s="188"/>
      <c r="L38" s="188"/>
      <c r="M38" s="188"/>
      <c r="N38" s="188"/>
      <c r="O38" s="188"/>
      <c r="P38" s="188"/>
      <c r="Q38" s="199" t="s">
        <v>537</v>
      </c>
      <c r="R38" s="188"/>
      <c r="S38" s="199" t="s">
        <v>537</v>
      </c>
      <c r="T38" s="188"/>
      <c r="U38" s="188"/>
      <c r="V38" s="76"/>
      <c r="W38" s="76"/>
      <c r="X38" s="76"/>
      <c r="Y38" s="76"/>
      <c r="Z38" s="76"/>
      <c r="AA38" s="76"/>
    </row>
    <row r="39" spans="1:27" ht="48" customHeight="1" x14ac:dyDescent="0.3">
      <c r="A39" s="69" t="s">
        <v>313</v>
      </c>
      <c r="B39" s="116" t="s">
        <v>98</v>
      </c>
      <c r="C39" s="69" t="s">
        <v>272</v>
      </c>
      <c r="D39" s="116" t="s">
        <v>932</v>
      </c>
      <c r="E39" s="149" t="s">
        <v>895</v>
      </c>
      <c r="F39" s="81" t="s">
        <v>115</v>
      </c>
      <c r="G39" s="81" t="s">
        <v>116</v>
      </c>
      <c r="H39" s="91"/>
      <c r="I39" s="91"/>
      <c r="J39" s="91"/>
      <c r="K39" s="199" t="s">
        <v>537</v>
      </c>
      <c r="L39" s="199" t="s">
        <v>537</v>
      </c>
      <c r="M39" s="199" t="s">
        <v>537</v>
      </c>
      <c r="N39" s="199" t="s">
        <v>537</v>
      </c>
      <c r="O39" s="199" t="s">
        <v>537</v>
      </c>
      <c r="P39" s="199" t="s">
        <v>537</v>
      </c>
      <c r="Q39" s="199" t="s">
        <v>537</v>
      </c>
      <c r="R39" s="199" t="s">
        <v>537</v>
      </c>
      <c r="S39" s="199" t="s">
        <v>537</v>
      </c>
      <c r="T39" s="188"/>
      <c r="U39" s="188"/>
      <c r="V39" s="76"/>
      <c r="W39" s="76"/>
      <c r="X39" s="76"/>
      <c r="Y39" s="76"/>
      <c r="Z39" s="76"/>
      <c r="AA39" s="76"/>
    </row>
    <row r="40" spans="1:27" ht="82.5" x14ac:dyDescent="0.3">
      <c r="A40" s="69" t="s">
        <v>314</v>
      </c>
      <c r="B40" s="116" t="s">
        <v>98</v>
      </c>
      <c r="C40" s="69" t="s">
        <v>274</v>
      </c>
      <c r="D40" s="116" t="s">
        <v>933</v>
      </c>
      <c r="E40" s="173" t="s">
        <v>897</v>
      </c>
      <c r="F40" s="81" t="s">
        <v>115</v>
      </c>
      <c r="G40" s="81" t="s">
        <v>131</v>
      </c>
      <c r="H40" s="91"/>
      <c r="I40" s="91"/>
      <c r="J40" s="91"/>
      <c r="K40" s="188"/>
      <c r="L40" s="188"/>
      <c r="M40" s="188"/>
      <c r="N40" s="188"/>
      <c r="O40" s="188"/>
      <c r="P40" s="188"/>
      <c r="Q40" s="199" t="s">
        <v>537</v>
      </c>
      <c r="R40" s="188"/>
      <c r="S40" s="199" t="s">
        <v>537</v>
      </c>
      <c r="T40" s="188"/>
      <c r="U40" s="188"/>
      <c r="V40" s="76"/>
      <c r="W40" s="76"/>
      <c r="X40" s="76"/>
      <c r="Y40" s="76"/>
      <c r="Z40" s="76"/>
      <c r="AA40" s="76"/>
    </row>
    <row r="41" spans="1:27" ht="82.5" x14ac:dyDescent="0.3">
      <c r="A41" s="69" t="s">
        <v>315</v>
      </c>
      <c r="B41" s="116" t="s">
        <v>98</v>
      </c>
      <c r="C41" s="69" t="s">
        <v>274</v>
      </c>
      <c r="D41" s="116" t="s">
        <v>934</v>
      </c>
      <c r="E41" s="173" t="s">
        <v>897</v>
      </c>
      <c r="F41" s="81" t="s">
        <v>115</v>
      </c>
      <c r="G41" s="81" t="s">
        <v>116</v>
      </c>
      <c r="H41" s="91"/>
      <c r="I41" s="91"/>
      <c r="J41" s="91"/>
      <c r="K41" s="199" t="s">
        <v>537</v>
      </c>
      <c r="L41" s="199" t="s">
        <v>537</v>
      </c>
      <c r="M41" s="199" t="s">
        <v>537</v>
      </c>
      <c r="N41" s="199" t="s">
        <v>537</v>
      </c>
      <c r="O41" s="199" t="s">
        <v>537</v>
      </c>
      <c r="P41" s="199" t="s">
        <v>537</v>
      </c>
      <c r="Q41" s="199" t="s">
        <v>537</v>
      </c>
      <c r="R41" s="199" t="s">
        <v>537</v>
      </c>
      <c r="S41" s="199" t="s">
        <v>537</v>
      </c>
      <c r="T41" s="188"/>
      <c r="U41" s="188"/>
      <c r="V41" s="76"/>
      <c r="W41" s="76"/>
      <c r="X41" s="76"/>
      <c r="Y41" s="76"/>
      <c r="Z41" s="76"/>
      <c r="AA41" s="76"/>
    </row>
    <row r="42" spans="1:27" ht="148.5" x14ac:dyDescent="0.3">
      <c r="A42" s="69" t="s">
        <v>316</v>
      </c>
      <c r="B42" s="70" t="s">
        <v>98</v>
      </c>
      <c r="C42" s="69" t="s">
        <v>124</v>
      </c>
      <c r="D42" s="70" t="s">
        <v>935</v>
      </c>
      <c r="E42" s="149" t="s">
        <v>899</v>
      </c>
      <c r="F42" s="81" t="s">
        <v>115</v>
      </c>
      <c r="G42" s="81" t="s">
        <v>131</v>
      </c>
      <c r="H42" s="91"/>
      <c r="I42" s="91"/>
      <c r="J42" s="91"/>
      <c r="K42" s="188"/>
      <c r="L42" s="188"/>
      <c r="M42" s="188"/>
      <c r="N42" s="188"/>
      <c r="O42" s="188"/>
      <c r="P42" s="188"/>
      <c r="Q42" s="199" t="s">
        <v>537</v>
      </c>
      <c r="R42" s="188"/>
      <c r="S42" s="199" t="s">
        <v>537</v>
      </c>
      <c r="T42" s="188"/>
      <c r="U42" s="188"/>
      <c r="V42" s="76"/>
      <c r="W42" s="76"/>
      <c r="X42" s="76"/>
      <c r="Y42" s="76"/>
      <c r="Z42" s="76"/>
      <c r="AA42" s="76"/>
    </row>
    <row r="43" spans="1:27" ht="148.5" x14ac:dyDescent="0.3">
      <c r="A43" s="69" t="s">
        <v>317</v>
      </c>
      <c r="B43" s="70" t="s">
        <v>98</v>
      </c>
      <c r="C43" s="69" t="s">
        <v>124</v>
      </c>
      <c r="D43" s="70" t="s">
        <v>745</v>
      </c>
      <c r="E43" s="149" t="s">
        <v>899</v>
      </c>
      <c r="F43" s="81" t="s">
        <v>115</v>
      </c>
      <c r="G43" s="81" t="s">
        <v>116</v>
      </c>
      <c r="H43" s="91"/>
      <c r="I43" s="91"/>
      <c r="J43" s="91"/>
      <c r="K43" s="199" t="s">
        <v>537</v>
      </c>
      <c r="L43" s="199" t="s">
        <v>537</v>
      </c>
      <c r="M43" s="199" t="s">
        <v>537</v>
      </c>
      <c r="N43" s="199" t="s">
        <v>537</v>
      </c>
      <c r="O43" s="199" t="s">
        <v>537</v>
      </c>
      <c r="P43" s="199" t="s">
        <v>537</v>
      </c>
      <c r="Q43" s="199" t="s">
        <v>537</v>
      </c>
      <c r="R43" s="199" t="s">
        <v>537</v>
      </c>
      <c r="S43" s="199" t="s">
        <v>537</v>
      </c>
      <c r="T43" s="188"/>
      <c r="U43" s="188"/>
      <c r="V43" s="76"/>
      <c r="W43" s="76"/>
      <c r="X43" s="76"/>
      <c r="Y43" s="76"/>
      <c r="Z43" s="76"/>
      <c r="AA43" s="76"/>
    </row>
    <row r="44" spans="1:27" ht="181.5" x14ac:dyDescent="0.3">
      <c r="A44" s="114" t="s">
        <v>318</v>
      </c>
      <c r="B44" s="116" t="s">
        <v>98</v>
      </c>
      <c r="C44" s="114" t="s">
        <v>278</v>
      </c>
      <c r="D44" s="116" t="s">
        <v>936</v>
      </c>
      <c r="E44" s="149" t="s">
        <v>901</v>
      </c>
      <c r="F44" s="81" t="s">
        <v>115</v>
      </c>
      <c r="G44" s="81" t="s">
        <v>131</v>
      </c>
      <c r="H44" s="91"/>
      <c r="I44" s="91"/>
      <c r="J44" s="91"/>
      <c r="K44" s="188"/>
      <c r="L44" s="188"/>
      <c r="M44" s="188"/>
      <c r="N44" s="188"/>
      <c r="O44" s="188"/>
      <c r="P44" s="188"/>
      <c r="Q44" s="199" t="s">
        <v>537</v>
      </c>
      <c r="R44" s="188"/>
      <c r="S44" s="199" t="s">
        <v>537</v>
      </c>
      <c r="T44" s="188"/>
      <c r="U44" s="188"/>
      <c r="V44" s="76"/>
      <c r="W44" s="76"/>
      <c r="X44" s="76"/>
      <c r="Y44" s="76"/>
      <c r="Z44" s="76"/>
      <c r="AA44" s="76"/>
    </row>
    <row r="45" spans="1:27" ht="181.5" x14ac:dyDescent="0.3">
      <c r="A45" s="114" t="s">
        <v>319</v>
      </c>
      <c r="B45" s="116" t="s">
        <v>98</v>
      </c>
      <c r="C45" s="114" t="s">
        <v>278</v>
      </c>
      <c r="D45" s="116" t="s">
        <v>937</v>
      </c>
      <c r="E45" s="149" t="s">
        <v>901</v>
      </c>
      <c r="F45" s="81" t="s">
        <v>115</v>
      </c>
      <c r="G45" s="81" t="s">
        <v>116</v>
      </c>
      <c r="H45" s="91"/>
      <c r="I45" s="91"/>
      <c r="J45" s="91"/>
      <c r="K45" s="199" t="s">
        <v>537</v>
      </c>
      <c r="L45" s="199" t="s">
        <v>537</v>
      </c>
      <c r="M45" s="199" t="s">
        <v>537</v>
      </c>
      <c r="N45" s="199" t="s">
        <v>537</v>
      </c>
      <c r="O45" s="199" t="s">
        <v>537</v>
      </c>
      <c r="P45" s="199" t="s">
        <v>537</v>
      </c>
      <c r="Q45" s="199" t="s">
        <v>537</v>
      </c>
      <c r="R45" s="199" t="s">
        <v>537</v>
      </c>
      <c r="S45" s="199" t="s">
        <v>537</v>
      </c>
      <c r="T45" s="188"/>
      <c r="U45" s="188"/>
      <c r="V45" s="76"/>
      <c r="W45" s="76"/>
      <c r="X45" s="76"/>
      <c r="Y45" s="76"/>
      <c r="Z45" s="76"/>
      <c r="AA45" s="76"/>
    </row>
    <row r="46" spans="1:27" ht="148.5" x14ac:dyDescent="0.3">
      <c r="A46" s="114" t="s">
        <v>320</v>
      </c>
      <c r="B46" s="116" t="s">
        <v>98</v>
      </c>
      <c r="C46" s="114" t="s">
        <v>281</v>
      </c>
      <c r="D46" s="116" t="s">
        <v>938</v>
      </c>
      <c r="E46" s="69" t="s">
        <v>903</v>
      </c>
      <c r="F46" s="81" t="s">
        <v>115</v>
      </c>
      <c r="G46" s="81" t="s">
        <v>116</v>
      </c>
      <c r="H46" s="97"/>
      <c r="I46" s="97"/>
      <c r="J46" s="97"/>
      <c r="K46" s="188"/>
      <c r="L46" s="188"/>
      <c r="M46" s="188"/>
      <c r="N46" s="188"/>
      <c r="O46" s="188"/>
      <c r="P46" s="188"/>
      <c r="Q46" s="199" t="s">
        <v>537</v>
      </c>
      <c r="R46" s="188"/>
      <c r="S46" s="199" t="s">
        <v>537</v>
      </c>
      <c r="T46" s="188"/>
      <c r="U46" s="188"/>
      <c r="V46" s="76"/>
      <c r="W46" s="76"/>
      <c r="X46" s="76"/>
      <c r="Y46" s="76"/>
      <c r="Z46" s="76"/>
      <c r="AA46" s="76"/>
    </row>
    <row r="47" spans="1:27" ht="148.5" x14ac:dyDescent="0.3">
      <c r="A47" s="114" t="s">
        <v>321</v>
      </c>
      <c r="B47" s="116" t="s">
        <v>98</v>
      </c>
      <c r="C47" s="114" t="s">
        <v>281</v>
      </c>
      <c r="D47" s="116" t="s">
        <v>939</v>
      </c>
      <c r="E47" s="69" t="s">
        <v>903</v>
      </c>
      <c r="F47" s="81" t="s">
        <v>115</v>
      </c>
      <c r="G47" s="81" t="s">
        <v>116</v>
      </c>
      <c r="H47" s="134"/>
      <c r="I47" s="134"/>
      <c r="J47" s="134"/>
      <c r="K47" s="199" t="s">
        <v>537</v>
      </c>
      <c r="L47" s="199" t="s">
        <v>537</v>
      </c>
      <c r="M47" s="199" t="s">
        <v>537</v>
      </c>
      <c r="N47" s="199" t="s">
        <v>537</v>
      </c>
      <c r="O47" s="199" t="s">
        <v>537</v>
      </c>
      <c r="P47" s="199" t="s">
        <v>537</v>
      </c>
      <c r="Q47" s="199" t="s">
        <v>537</v>
      </c>
      <c r="R47" s="199" t="s">
        <v>537</v>
      </c>
      <c r="S47" s="199" t="s">
        <v>537</v>
      </c>
      <c r="T47" s="188"/>
      <c r="U47" s="188"/>
      <c r="V47" s="76"/>
      <c r="W47" s="76"/>
      <c r="X47" s="76"/>
      <c r="Y47" s="76"/>
      <c r="Z47" s="76"/>
      <c r="AA47" s="76"/>
    </row>
    <row r="48" spans="1:27" ht="247.5" x14ac:dyDescent="0.3">
      <c r="A48" s="107" t="s">
        <v>322</v>
      </c>
      <c r="B48" s="106" t="s">
        <v>98</v>
      </c>
      <c r="C48" s="107" t="s">
        <v>283</v>
      </c>
      <c r="D48" s="106" t="s">
        <v>940</v>
      </c>
      <c r="E48" s="107" t="s">
        <v>905</v>
      </c>
      <c r="F48" s="108" t="s">
        <v>115</v>
      </c>
      <c r="G48" s="108" t="s">
        <v>116</v>
      </c>
      <c r="H48" s="134"/>
      <c r="I48" s="134"/>
      <c r="J48" s="134"/>
      <c r="K48" s="188"/>
      <c r="L48" s="188"/>
      <c r="M48" s="188"/>
      <c r="N48" s="188"/>
      <c r="O48" s="188"/>
      <c r="P48" s="188"/>
      <c r="Q48" s="199" t="s">
        <v>537</v>
      </c>
      <c r="R48" s="188"/>
      <c r="S48" s="199" t="s">
        <v>537</v>
      </c>
      <c r="T48" s="188"/>
      <c r="U48" s="188"/>
      <c r="V48" s="76"/>
      <c r="W48" s="76"/>
      <c r="X48" s="76"/>
      <c r="Y48" s="76"/>
      <c r="Z48" s="76"/>
      <c r="AA48" s="76"/>
    </row>
    <row r="49" spans="1:27" ht="247.5" x14ac:dyDescent="0.3">
      <c r="A49" s="107" t="s">
        <v>323</v>
      </c>
      <c r="B49" s="106" t="s">
        <v>98</v>
      </c>
      <c r="C49" s="107" t="s">
        <v>283</v>
      </c>
      <c r="D49" s="106" t="s">
        <v>941</v>
      </c>
      <c r="E49" s="107" t="s">
        <v>905</v>
      </c>
      <c r="F49" s="108" t="s">
        <v>115</v>
      </c>
      <c r="G49" s="108" t="s">
        <v>116</v>
      </c>
      <c r="H49" s="134"/>
      <c r="I49" s="134"/>
      <c r="J49" s="134"/>
      <c r="K49" s="199" t="s">
        <v>537</v>
      </c>
      <c r="L49" s="199" t="s">
        <v>537</v>
      </c>
      <c r="M49" s="199" t="s">
        <v>537</v>
      </c>
      <c r="N49" s="199" t="s">
        <v>537</v>
      </c>
      <c r="O49" s="199" t="s">
        <v>537</v>
      </c>
      <c r="P49" s="199" t="s">
        <v>537</v>
      </c>
      <c r="Q49" s="199" t="s">
        <v>537</v>
      </c>
      <c r="R49" s="199" t="s">
        <v>537</v>
      </c>
      <c r="S49" s="199" t="s">
        <v>537</v>
      </c>
      <c r="T49" s="188"/>
      <c r="U49" s="188"/>
      <c r="V49" s="76"/>
      <c r="W49" s="76"/>
      <c r="X49" s="76"/>
      <c r="Y49" s="76"/>
      <c r="Z49" s="76"/>
      <c r="AA49" s="76"/>
    </row>
    <row r="50" spans="1:27" ht="165" x14ac:dyDescent="0.3">
      <c r="A50" s="114" t="s">
        <v>324</v>
      </c>
      <c r="B50" s="116" t="s">
        <v>98</v>
      </c>
      <c r="C50" s="114" t="s">
        <v>285</v>
      </c>
      <c r="D50" s="116" t="s">
        <v>942</v>
      </c>
      <c r="E50" s="173" t="s">
        <v>907</v>
      </c>
      <c r="F50" s="81" t="s">
        <v>115</v>
      </c>
      <c r="G50" s="81" t="s">
        <v>116</v>
      </c>
      <c r="H50" s="134"/>
      <c r="I50" s="134"/>
      <c r="J50" s="134"/>
      <c r="K50" s="188"/>
      <c r="L50" s="188"/>
      <c r="M50" s="188"/>
      <c r="N50" s="188"/>
      <c r="O50" s="188"/>
      <c r="P50" s="188"/>
      <c r="Q50" s="199" t="s">
        <v>537</v>
      </c>
      <c r="R50" s="188"/>
      <c r="S50" s="199" t="s">
        <v>537</v>
      </c>
      <c r="T50" s="188"/>
      <c r="U50" s="188"/>
      <c r="V50" s="76"/>
      <c r="W50" s="76"/>
      <c r="X50" s="76"/>
      <c r="Y50" s="76"/>
      <c r="Z50" s="76"/>
      <c r="AA50" s="76"/>
    </row>
    <row r="51" spans="1:27" ht="165" x14ac:dyDescent="0.3">
      <c r="A51" s="114" t="s">
        <v>325</v>
      </c>
      <c r="B51" s="116" t="s">
        <v>98</v>
      </c>
      <c r="C51" s="114" t="s">
        <v>285</v>
      </c>
      <c r="D51" s="116" t="s">
        <v>943</v>
      </c>
      <c r="E51" s="173" t="s">
        <v>907</v>
      </c>
      <c r="F51" s="81" t="s">
        <v>115</v>
      </c>
      <c r="G51" s="81" t="s">
        <v>116</v>
      </c>
      <c r="H51" s="134"/>
      <c r="I51" s="134"/>
      <c r="J51" s="134"/>
      <c r="K51" s="199" t="s">
        <v>537</v>
      </c>
      <c r="L51" s="199" t="s">
        <v>537</v>
      </c>
      <c r="M51" s="199" t="s">
        <v>537</v>
      </c>
      <c r="N51" s="199" t="s">
        <v>537</v>
      </c>
      <c r="O51" s="199" t="s">
        <v>537</v>
      </c>
      <c r="P51" s="199" t="s">
        <v>537</v>
      </c>
      <c r="Q51" s="199" t="s">
        <v>537</v>
      </c>
      <c r="R51" s="199" t="s">
        <v>537</v>
      </c>
      <c r="S51" s="199" t="s">
        <v>537</v>
      </c>
      <c r="T51" s="188"/>
      <c r="U51" s="188"/>
      <c r="V51" s="76"/>
      <c r="W51" s="76"/>
      <c r="X51" s="76"/>
      <c r="Y51" s="76"/>
      <c r="Z51" s="76"/>
      <c r="AA51" s="76"/>
    </row>
    <row r="52" spans="1:27" ht="231" x14ac:dyDescent="0.3">
      <c r="A52" s="205" t="s">
        <v>326</v>
      </c>
      <c r="B52" s="203" t="s">
        <v>98</v>
      </c>
      <c r="C52" s="205" t="s">
        <v>287</v>
      </c>
      <c r="D52" s="203" t="s">
        <v>944</v>
      </c>
      <c r="E52" s="103" t="s">
        <v>909</v>
      </c>
      <c r="F52" s="90" t="s">
        <v>115</v>
      </c>
      <c r="G52" s="117" t="s">
        <v>116</v>
      </c>
      <c r="H52" s="134"/>
      <c r="I52" s="134"/>
      <c r="J52" s="134"/>
      <c r="K52" s="188"/>
      <c r="L52" s="188"/>
      <c r="M52" s="188"/>
      <c r="N52" s="188"/>
      <c r="O52" s="188"/>
      <c r="P52" s="188"/>
      <c r="Q52" s="199" t="s">
        <v>537</v>
      </c>
      <c r="R52" s="188"/>
      <c r="S52" s="199" t="s">
        <v>537</v>
      </c>
      <c r="T52" s="188"/>
      <c r="U52" s="188"/>
      <c r="V52" s="76"/>
      <c r="W52" s="76"/>
      <c r="X52" s="76"/>
      <c r="Y52" s="76"/>
      <c r="Z52" s="76"/>
      <c r="AA52" s="76"/>
    </row>
    <row r="53" spans="1:27" ht="231" x14ac:dyDescent="0.3">
      <c r="A53" s="205" t="s">
        <v>327</v>
      </c>
      <c r="B53" s="203" t="s">
        <v>98</v>
      </c>
      <c r="C53" s="205" t="s">
        <v>287</v>
      </c>
      <c r="D53" s="203" t="s">
        <v>945</v>
      </c>
      <c r="E53" s="103" t="s">
        <v>909</v>
      </c>
      <c r="F53" s="90" t="s">
        <v>115</v>
      </c>
      <c r="G53" s="117" t="s">
        <v>116</v>
      </c>
      <c r="H53" s="134"/>
      <c r="I53" s="134"/>
      <c r="J53" s="134"/>
      <c r="K53" s="199" t="s">
        <v>537</v>
      </c>
      <c r="L53" s="199" t="s">
        <v>537</v>
      </c>
      <c r="M53" s="199" t="s">
        <v>537</v>
      </c>
      <c r="N53" s="199" t="s">
        <v>537</v>
      </c>
      <c r="O53" s="199" t="s">
        <v>537</v>
      </c>
      <c r="P53" s="199" t="s">
        <v>537</v>
      </c>
      <c r="Q53" s="199" t="s">
        <v>537</v>
      </c>
      <c r="R53" s="199" t="s">
        <v>537</v>
      </c>
      <c r="S53" s="199" t="s">
        <v>537</v>
      </c>
      <c r="T53" s="188"/>
      <c r="U53" s="188"/>
      <c r="V53" s="76"/>
      <c r="W53" s="76"/>
      <c r="X53" s="76"/>
      <c r="Y53" s="76"/>
      <c r="Z53" s="76"/>
      <c r="AA53" s="76"/>
    </row>
    <row r="54" spans="1:27" ht="54.75" customHeight="1" x14ac:dyDescent="0.3">
      <c r="A54" s="173" t="s">
        <v>607</v>
      </c>
      <c r="B54" s="153" t="s">
        <v>603</v>
      </c>
      <c r="C54" s="173" t="s">
        <v>605</v>
      </c>
      <c r="D54" s="148" t="s">
        <v>814</v>
      </c>
      <c r="E54" s="149"/>
      <c r="F54" s="152" t="s">
        <v>395</v>
      </c>
      <c r="G54" s="135"/>
      <c r="H54" s="134"/>
      <c r="I54" s="134"/>
      <c r="J54" s="134"/>
      <c r="K54" s="188"/>
      <c r="L54" s="188"/>
      <c r="M54" s="188"/>
      <c r="N54" s="188"/>
      <c r="O54" s="188"/>
      <c r="P54" s="188"/>
      <c r="Q54" s="199"/>
      <c r="R54" s="188"/>
      <c r="S54" s="199"/>
      <c r="T54" s="188"/>
      <c r="U54" s="188"/>
      <c r="V54" s="76"/>
      <c r="W54" s="76"/>
      <c r="X54" s="76"/>
      <c r="Y54" s="76"/>
      <c r="Z54" s="76"/>
      <c r="AA54" s="76"/>
    </row>
  </sheetData>
  <mergeCells count="3">
    <mergeCell ref="A1:I1"/>
    <mergeCell ref="J1:U2"/>
    <mergeCell ref="A2:E2"/>
  </mergeCells>
  <phoneticPr fontId="10" type="noConversion"/>
  <pageMargins left="0.7" right="0.7" top="0.78740157499999996" bottom="0.78740157499999996"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6A54-3455-4C19-A839-10F898CA4EF0}">
  <dimension ref="A1:U78"/>
  <sheetViews>
    <sheetView topLeftCell="A73" zoomScale="70" zoomScaleNormal="70" workbookViewId="0">
      <selection activeCell="Q7" sqref="Q7"/>
    </sheetView>
  </sheetViews>
  <sheetFormatPr defaultColWidth="10.85546875" defaultRowHeight="16.5" x14ac:dyDescent="0.3"/>
  <cols>
    <col min="1" max="1" width="16.7109375" style="66" customWidth="1"/>
    <col min="2" max="2" width="14.85546875" style="66" customWidth="1"/>
    <col min="3" max="3" width="31.85546875" style="66" customWidth="1"/>
    <col min="4" max="4" width="73.140625" style="66" customWidth="1"/>
    <col min="5" max="5" width="37.5703125" style="66" customWidth="1"/>
    <col min="6" max="6" width="10.85546875" style="76"/>
    <col min="7" max="7" width="11" style="76" customWidth="1"/>
    <col min="8" max="8" width="12.85546875" style="66" customWidth="1"/>
    <col min="9" max="9" width="23.28515625" style="66" customWidth="1"/>
    <col min="10" max="10" width="10.85546875" style="66"/>
    <col min="11" max="11" width="29.140625" style="76" bestFit="1" customWidth="1"/>
    <col min="12" max="12" width="23.28515625" style="76" bestFit="1" customWidth="1"/>
    <col min="13" max="13" width="24.140625" style="76" bestFit="1" customWidth="1"/>
    <col min="14" max="14" width="36.7109375" style="76" bestFit="1" customWidth="1"/>
    <col min="15" max="15" width="34.42578125" style="76" bestFit="1" customWidth="1"/>
    <col min="16" max="16" width="31.7109375" style="76" bestFit="1" customWidth="1"/>
    <col min="17" max="17" width="25.140625" style="76" bestFit="1" customWidth="1"/>
    <col min="18" max="18" width="30.5703125" style="76" bestFit="1" customWidth="1"/>
    <col min="19" max="19" width="22.28515625" style="76" bestFit="1" customWidth="1"/>
    <col min="20" max="20" width="21.28515625" style="66" bestFit="1" customWidth="1"/>
    <col min="21" max="21" width="25.5703125" style="66" bestFit="1" customWidth="1"/>
    <col min="22" max="16384" width="10.85546875" style="66"/>
  </cols>
  <sheetData>
    <row r="1" spans="1:21" ht="63" customHeight="1" x14ac:dyDescent="0.3">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17.25" x14ac:dyDescent="0.3">
      <c r="A2" s="248" t="str">
        <f>Homepage!A2</f>
        <v>Environment: https://ngw-stage.lighthouselabs.io/de/mofa.html</v>
      </c>
      <c r="B2" s="249"/>
      <c r="C2" s="249"/>
      <c r="D2" s="249"/>
      <c r="E2" s="249"/>
      <c r="F2" s="77"/>
      <c r="G2" s="77"/>
      <c r="H2" s="78"/>
      <c r="I2" s="79"/>
      <c r="J2" s="252"/>
      <c r="K2" s="252"/>
      <c r="L2" s="252"/>
      <c r="M2" s="252"/>
      <c r="N2" s="252"/>
      <c r="O2" s="252"/>
      <c r="P2" s="252"/>
      <c r="Q2" s="252"/>
      <c r="R2" s="252"/>
      <c r="S2" s="252"/>
      <c r="T2" s="252"/>
      <c r="U2" s="253"/>
    </row>
    <row r="3" spans="1:21" ht="54.6" customHeight="1" x14ac:dyDescent="0.3">
      <c r="A3" s="109" t="s">
        <v>105</v>
      </c>
      <c r="B3" s="110" t="s">
        <v>106</v>
      </c>
      <c r="C3" s="110" t="s">
        <v>107</v>
      </c>
      <c r="D3" s="110" t="s">
        <v>625</v>
      </c>
      <c r="E3" s="110" t="s">
        <v>626</v>
      </c>
      <c r="F3" s="110" t="s">
        <v>108</v>
      </c>
      <c r="G3" s="110" t="s">
        <v>109</v>
      </c>
      <c r="H3" s="110" t="s">
        <v>468</v>
      </c>
      <c r="I3" s="110" t="s">
        <v>627</v>
      </c>
      <c r="J3" s="110" t="s">
        <v>628</v>
      </c>
      <c r="K3" s="236" t="s">
        <v>692</v>
      </c>
      <c r="L3" s="111" t="s">
        <v>693</v>
      </c>
      <c r="M3" s="111" t="s">
        <v>699</v>
      </c>
      <c r="N3" s="111" t="s">
        <v>696</v>
      </c>
      <c r="O3" s="111" t="s">
        <v>694</v>
      </c>
      <c r="P3" s="111" t="s">
        <v>695</v>
      </c>
      <c r="Q3" s="111" t="s">
        <v>697</v>
      </c>
      <c r="R3" s="111" t="s">
        <v>698</v>
      </c>
      <c r="S3" s="111" t="s">
        <v>629</v>
      </c>
      <c r="T3" s="112" t="s">
        <v>110</v>
      </c>
      <c r="U3" s="113" t="s">
        <v>111</v>
      </c>
    </row>
    <row r="4" spans="1:21" ht="82.5" x14ac:dyDescent="0.3">
      <c r="A4" s="80" t="s">
        <v>189</v>
      </c>
      <c r="B4" s="70" t="s">
        <v>100</v>
      </c>
      <c r="C4" s="69" t="s">
        <v>190</v>
      </c>
      <c r="D4" s="70" t="s">
        <v>782</v>
      </c>
      <c r="E4" s="69" t="s">
        <v>758</v>
      </c>
      <c r="F4" s="81" t="s">
        <v>169</v>
      </c>
      <c r="G4" s="81" t="s">
        <v>116</v>
      </c>
      <c r="H4" s="81"/>
      <c r="I4" s="83"/>
      <c r="J4" s="84"/>
      <c r="K4" s="237"/>
      <c r="L4" s="83"/>
      <c r="M4" s="83"/>
      <c r="N4" s="83"/>
      <c r="O4" s="83"/>
      <c r="P4" s="83"/>
      <c r="Q4" s="83" t="s">
        <v>537</v>
      </c>
      <c r="R4" s="83"/>
      <c r="S4" s="83" t="s">
        <v>537</v>
      </c>
      <c r="T4" s="83"/>
      <c r="U4" s="85"/>
    </row>
    <row r="5" spans="1:21" ht="66" x14ac:dyDescent="0.3">
      <c r="A5" s="80" t="s">
        <v>191</v>
      </c>
      <c r="B5" s="70" t="s">
        <v>100</v>
      </c>
      <c r="C5" s="69" t="s">
        <v>618</v>
      </c>
      <c r="D5" s="70" t="s">
        <v>759</v>
      </c>
      <c r="E5" s="69" t="s">
        <v>760</v>
      </c>
      <c r="F5" s="82" t="s">
        <v>169</v>
      </c>
      <c r="G5" s="81" t="s">
        <v>116</v>
      </c>
      <c r="H5" s="81"/>
      <c r="I5" s="70"/>
      <c r="J5" s="86"/>
      <c r="K5" s="83"/>
      <c r="L5" s="83"/>
      <c r="M5" s="83"/>
      <c r="N5" s="83"/>
      <c r="O5" s="83"/>
      <c r="P5" s="83"/>
      <c r="Q5" s="83" t="s">
        <v>537</v>
      </c>
      <c r="R5" s="83"/>
      <c r="S5" s="83" t="s">
        <v>537</v>
      </c>
      <c r="T5" s="122"/>
      <c r="U5" s="123"/>
    </row>
    <row r="6" spans="1:21" ht="132" x14ac:dyDescent="0.3">
      <c r="A6" s="80" t="s">
        <v>192</v>
      </c>
      <c r="B6" s="70" t="s">
        <v>100</v>
      </c>
      <c r="C6" s="69" t="s">
        <v>193</v>
      </c>
      <c r="D6" s="70" t="s">
        <v>761</v>
      </c>
      <c r="E6" s="114" t="s">
        <v>762</v>
      </c>
      <c r="F6" s="81" t="s">
        <v>169</v>
      </c>
      <c r="G6" s="81" t="s">
        <v>116</v>
      </c>
      <c r="H6" s="81"/>
      <c r="I6" s="70"/>
      <c r="J6" s="86"/>
      <c r="K6" s="83"/>
      <c r="L6" s="83"/>
      <c r="M6" s="83"/>
      <c r="N6" s="83"/>
      <c r="O6" s="83"/>
      <c r="P6" s="83"/>
      <c r="Q6" s="83" t="s">
        <v>537</v>
      </c>
      <c r="R6" s="83"/>
      <c r="S6" s="83" t="s">
        <v>537</v>
      </c>
      <c r="T6" s="122"/>
      <c r="U6" s="123"/>
    </row>
    <row r="7" spans="1:21" ht="49.5" x14ac:dyDescent="0.3">
      <c r="A7" s="115" t="s">
        <v>542</v>
      </c>
      <c r="B7" s="116" t="s">
        <v>100</v>
      </c>
      <c r="C7" s="114" t="s">
        <v>193</v>
      </c>
      <c r="D7" s="116" t="s">
        <v>700</v>
      </c>
      <c r="E7" s="103" t="s">
        <v>193</v>
      </c>
      <c r="F7" s="81" t="s">
        <v>395</v>
      </c>
      <c r="G7" s="81"/>
      <c r="H7" s="81"/>
      <c r="I7" s="129" t="s">
        <v>783</v>
      </c>
      <c r="J7" s="86"/>
      <c r="K7" s="83"/>
      <c r="L7" s="83"/>
      <c r="M7" s="83"/>
      <c r="N7" s="83"/>
      <c r="O7" s="83"/>
      <c r="P7" s="83"/>
      <c r="Q7" s="83"/>
      <c r="R7" s="83"/>
      <c r="S7" s="83"/>
      <c r="T7" s="122"/>
      <c r="U7" s="123"/>
    </row>
    <row r="8" spans="1:21" ht="82.5" x14ac:dyDescent="0.3">
      <c r="A8" s="115" t="s">
        <v>599</v>
      </c>
      <c r="B8" s="116" t="s">
        <v>600</v>
      </c>
      <c r="C8" s="114" t="s">
        <v>193</v>
      </c>
      <c r="D8" s="116" t="s">
        <v>701</v>
      </c>
      <c r="E8" s="103" t="s">
        <v>702</v>
      </c>
      <c r="F8" s="81" t="s">
        <v>169</v>
      </c>
      <c r="G8" s="81" t="s">
        <v>116</v>
      </c>
      <c r="H8" s="81"/>
      <c r="I8" s="70"/>
      <c r="J8" s="86"/>
      <c r="K8" s="83"/>
      <c r="L8" s="83"/>
      <c r="M8" s="83"/>
      <c r="N8" s="83"/>
      <c r="O8" s="83"/>
      <c r="P8" s="83"/>
      <c r="Q8" s="83" t="s">
        <v>537</v>
      </c>
      <c r="R8" s="83"/>
      <c r="S8" s="83" t="s">
        <v>537</v>
      </c>
      <c r="T8" s="122"/>
      <c r="U8" s="123"/>
    </row>
    <row r="9" spans="1:21" ht="82.5" x14ac:dyDescent="0.3">
      <c r="A9" s="80" t="s">
        <v>195</v>
      </c>
      <c r="B9" s="70" t="s">
        <v>100</v>
      </c>
      <c r="C9" s="69" t="s">
        <v>136</v>
      </c>
      <c r="D9" s="70" t="s">
        <v>644</v>
      </c>
      <c r="E9" s="114" t="s">
        <v>763</v>
      </c>
      <c r="F9" s="81" t="s">
        <v>169</v>
      </c>
      <c r="G9" s="117" t="s">
        <v>116</v>
      </c>
      <c r="H9" s="117"/>
      <c r="I9" s="70"/>
      <c r="J9" s="86"/>
      <c r="K9" s="83"/>
      <c r="L9" s="83"/>
      <c r="M9" s="83"/>
      <c r="N9" s="83"/>
      <c r="O9" s="83"/>
      <c r="P9" s="83"/>
      <c r="Q9" s="83" t="s">
        <v>537</v>
      </c>
      <c r="R9" s="83"/>
      <c r="S9" s="83" t="s">
        <v>537</v>
      </c>
      <c r="T9" s="122"/>
      <c r="U9" s="123"/>
    </row>
    <row r="10" spans="1:21" ht="66" x14ac:dyDescent="0.3">
      <c r="A10" s="80" t="s">
        <v>196</v>
      </c>
      <c r="B10" s="70" t="s">
        <v>100</v>
      </c>
      <c r="C10" s="69" t="s">
        <v>197</v>
      </c>
      <c r="D10" s="70" t="s">
        <v>703</v>
      </c>
      <c r="E10" s="69" t="s">
        <v>764</v>
      </c>
      <c r="F10" s="81" t="s">
        <v>169</v>
      </c>
      <c r="G10" s="81" t="s">
        <v>116</v>
      </c>
      <c r="H10" s="81"/>
      <c r="I10" s="70"/>
      <c r="J10" s="86"/>
      <c r="K10" s="83"/>
      <c r="L10" s="83"/>
      <c r="M10" s="83"/>
      <c r="N10" s="83"/>
      <c r="O10" s="83"/>
      <c r="P10" s="83"/>
      <c r="Q10" s="83" t="s">
        <v>537</v>
      </c>
      <c r="R10" s="83"/>
      <c r="S10" s="83" t="s">
        <v>537</v>
      </c>
      <c r="T10" s="122"/>
      <c r="U10" s="123"/>
    </row>
    <row r="11" spans="1:21" ht="363" x14ac:dyDescent="0.3">
      <c r="A11" s="80" t="s">
        <v>198</v>
      </c>
      <c r="B11" s="70" t="s">
        <v>100</v>
      </c>
      <c r="C11" s="118" t="s">
        <v>124</v>
      </c>
      <c r="D11" s="104" t="s">
        <v>704</v>
      </c>
      <c r="E11" s="114" t="s">
        <v>765</v>
      </c>
      <c r="F11" s="81" t="s">
        <v>169</v>
      </c>
      <c r="G11" s="81" t="s">
        <v>116</v>
      </c>
      <c r="H11" s="81"/>
      <c r="I11" s="70"/>
      <c r="J11" s="86"/>
      <c r="K11" s="83"/>
      <c r="L11" s="83"/>
      <c r="M11" s="83"/>
      <c r="N11" s="83"/>
      <c r="O11" s="83"/>
      <c r="P11" s="83"/>
      <c r="Q11" s="83" t="s">
        <v>537</v>
      </c>
      <c r="R11" s="83"/>
      <c r="S11" s="83" t="s">
        <v>537</v>
      </c>
      <c r="T11" s="122"/>
      <c r="U11" s="123"/>
    </row>
    <row r="12" spans="1:21" ht="181.5" x14ac:dyDescent="0.3">
      <c r="A12" s="115" t="s">
        <v>199</v>
      </c>
      <c r="B12" s="119" t="s">
        <v>100</v>
      </c>
      <c r="C12" s="114" t="s">
        <v>200</v>
      </c>
      <c r="D12" s="116" t="s">
        <v>705</v>
      </c>
      <c r="E12" s="69" t="s">
        <v>766</v>
      </c>
      <c r="F12" s="81" t="s">
        <v>169</v>
      </c>
      <c r="G12" s="81" t="s">
        <v>116</v>
      </c>
      <c r="H12" s="81"/>
      <c r="I12" s="70"/>
      <c r="J12" s="86"/>
      <c r="K12" s="83"/>
      <c r="L12" s="83"/>
      <c r="M12" s="83"/>
      <c r="N12" s="83"/>
      <c r="O12" s="83"/>
      <c r="P12" s="83"/>
      <c r="Q12" s="83" t="s">
        <v>537</v>
      </c>
      <c r="R12" s="83"/>
      <c r="S12" s="83" t="s">
        <v>537</v>
      </c>
      <c r="T12" s="122"/>
      <c r="U12" s="123"/>
    </row>
    <row r="13" spans="1:21" ht="148.5" x14ac:dyDescent="0.3">
      <c r="A13" s="115" t="s">
        <v>202</v>
      </c>
      <c r="B13" s="116" t="s">
        <v>100</v>
      </c>
      <c r="C13" s="114" t="s">
        <v>203</v>
      </c>
      <c r="D13" s="116" t="s">
        <v>706</v>
      </c>
      <c r="E13" s="69" t="s">
        <v>767</v>
      </c>
      <c r="F13" s="81" t="s">
        <v>169</v>
      </c>
      <c r="G13" s="81" t="s">
        <v>116</v>
      </c>
      <c r="H13" s="81"/>
      <c r="I13" s="70"/>
      <c r="J13" s="86"/>
      <c r="K13" s="83"/>
      <c r="L13" s="83"/>
      <c r="M13" s="83"/>
      <c r="N13" s="83"/>
      <c r="O13" s="83"/>
      <c r="P13" s="83"/>
      <c r="Q13" s="83" t="s">
        <v>537</v>
      </c>
      <c r="R13" s="83"/>
      <c r="S13" s="83" t="s">
        <v>537</v>
      </c>
      <c r="T13" s="122"/>
      <c r="U13" s="123"/>
    </row>
    <row r="14" spans="1:21" ht="82.5" x14ac:dyDescent="0.3">
      <c r="A14" s="105" t="s">
        <v>205</v>
      </c>
      <c r="B14" s="106" t="s">
        <v>100</v>
      </c>
      <c r="C14" s="107" t="s">
        <v>206</v>
      </c>
      <c r="D14" s="107" t="s">
        <v>707</v>
      </c>
      <c r="E14" s="107" t="s">
        <v>708</v>
      </c>
      <c r="F14" s="108" t="s">
        <v>169</v>
      </c>
      <c r="G14" s="108" t="s">
        <v>116</v>
      </c>
      <c r="H14" s="108"/>
      <c r="I14" s="70"/>
      <c r="J14" s="86"/>
      <c r="K14" s="83"/>
      <c r="L14" s="83"/>
      <c r="M14" s="83"/>
      <c r="N14" s="83"/>
      <c r="O14" s="83"/>
      <c r="P14" s="83"/>
      <c r="Q14" s="83" t="s">
        <v>537</v>
      </c>
      <c r="R14" s="83"/>
      <c r="S14" s="83" t="s">
        <v>537</v>
      </c>
      <c r="T14" s="122"/>
      <c r="U14" s="123"/>
    </row>
    <row r="15" spans="1:21" ht="115.5" x14ac:dyDescent="0.3">
      <c r="A15" s="115" t="s">
        <v>207</v>
      </c>
      <c r="B15" s="116" t="s">
        <v>100</v>
      </c>
      <c r="C15" s="114" t="s">
        <v>208</v>
      </c>
      <c r="D15" s="116" t="s">
        <v>709</v>
      </c>
      <c r="E15" s="69" t="s">
        <v>768</v>
      </c>
      <c r="F15" s="81" t="s">
        <v>169</v>
      </c>
      <c r="G15" s="81" t="s">
        <v>116</v>
      </c>
      <c r="H15" s="81"/>
      <c r="I15" s="70"/>
      <c r="J15" s="86"/>
      <c r="K15" s="83"/>
      <c r="L15" s="83"/>
      <c r="M15" s="83"/>
      <c r="N15" s="83"/>
      <c r="O15" s="83"/>
      <c r="P15" s="83"/>
      <c r="Q15" s="83" t="s">
        <v>537</v>
      </c>
      <c r="R15" s="83"/>
      <c r="S15" s="83" t="s">
        <v>537</v>
      </c>
      <c r="T15" s="122"/>
      <c r="U15" s="123"/>
    </row>
    <row r="16" spans="1:21" ht="82.5" x14ac:dyDescent="0.3">
      <c r="A16" s="115" t="s">
        <v>209</v>
      </c>
      <c r="B16" s="116" t="s">
        <v>100</v>
      </c>
      <c r="C16" s="114" t="s">
        <v>126</v>
      </c>
      <c r="D16" s="116" t="s">
        <v>710</v>
      </c>
      <c r="E16" s="69" t="s">
        <v>769</v>
      </c>
      <c r="F16" s="81" t="s">
        <v>169</v>
      </c>
      <c r="G16" s="81" t="s">
        <v>116</v>
      </c>
      <c r="H16" s="81"/>
      <c r="I16" s="70"/>
      <c r="J16" s="86"/>
      <c r="K16" s="83"/>
      <c r="L16" s="83"/>
      <c r="M16" s="83"/>
      <c r="N16" s="83"/>
      <c r="O16" s="83"/>
      <c r="P16" s="83"/>
      <c r="Q16" s="83" t="s">
        <v>537</v>
      </c>
      <c r="R16" s="83"/>
      <c r="S16" s="83" t="s">
        <v>537</v>
      </c>
      <c r="T16" s="122"/>
      <c r="U16" s="123"/>
    </row>
    <row r="17" spans="1:21" ht="115.5" x14ac:dyDescent="0.3">
      <c r="A17" s="115" t="s">
        <v>210</v>
      </c>
      <c r="B17" s="116" t="s">
        <v>100</v>
      </c>
      <c r="C17" s="114" t="s">
        <v>211</v>
      </c>
      <c r="D17" s="116" t="s">
        <v>711</v>
      </c>
      <c r="E17" s="114" t="s">
        <v>770</v>
      </c>
      <c r="F17" s="81" t="s">
        <v>169</v>
      </c>
      <c r="G17" s="81" t="s">
        <v>116</v>
      </c>
      <c r="H17" s="81"/>
      <c r="I17" s="70"/>
      <c r="J17" s="86"/>
      <c r="K17" s="83"/>
      <c r="L17" s="83"/>
      <c r="M17" s="83"/>
      <c r="N17" s="83"/>
      <c r="O17" s="83"/>
      <c r="P17" s="83"/>
      <c r="Q17" s="83" t="s">
        <v>537</v>
      </c>
      <c r="R17" s="83"/>
      <c r="S17" s="83" t="s">
        <v>537</v>
      </c>
      <c r="T17" s="122"/>
      <c r="U17" s="123"/>
    </row>
    <row r="18" spans="1:21" ht="396" x14ac:dyDescent="0.3">
      <c r="A18" s="115" t="s">
        <v>213</v>
      </c>
      <c r="B18" s="116" t="s">
        <v>100</v>
      </c>
      <c r="C18" s="114" t="s">
        <v>214</v>
      </c>
      <c r="D18" s="114" t="s">
        <v>771</v>
      </c>
      <c r="E18" s="69" t="s">
        <v>772</v>
      </c>
      <c r="F18" s="81" t="s">
        <v>169</v>
      </c>
      <c r="G18" s="81" t="s">
        <v>116</v>
      </c>
      <c r="H18" s="81"/>
      <c r="I18" s="70"/>
      <c r="J18" s="86"/>
      <c r="K18" s="83"/>
      <c r="L18" s="83"/>
      <c r="M18" s="83"/>
      <c r="N18" s="83"/>
      <c r="O18" s="83"/>
      <c r="P18" s="83"/>
      <c r="Q18" s="83" t="s">
        <v>537</v>
      </c>
      <c r="R18" s="83"/>
      <c r="S18" s="83" t="s">
        <v>537</v>
      </c>
      <c r="T18" s="122"/>
      <c r="U18" s="123"/>
    </row>
    <row r="19" spans="1:21" ht="115.5" x14ac:dyDescent="0.3">
      <c r="A19" s="115" t="s">
        <v>548</v>
      </c>
      <c r="B19" s="119" t="s">
        <v>100</v>
      </c>
      <c r="C19" s="114" t="s">
        <v>555</v>
      </c>
      <c r="D19" s="116" t="s">
        <v>774</v>
      </c>
      <c r="E19" s="114" t="s">
        <v>547</v>
      </c>
      <c r="F19" s="84" t="s">
        <v>169</v>
      </c>
      <c r="G19" s="81" t="s">
        <v>116</v>
      </c>
      <c r="H19" s="81"/>
      <c r="I19" s="70"/>
      <c r="J19" s="86"/>
      <c r="K19" s="83"/>
      <c r="L19" s="83"/>
      <c r="M19" s="83"/>
      <c r="N19" s="83"/>
      <c r="O19" s="83"/>
      <c r="P19" s="83"/>
      <c r="Q19" s="83" t="s">
        <v>537</v>
      </c>
      <c r="R19" s="83"/>
      <c r="S19" s="83" t="s">
        <v>537</v>
      </c>
      <c r="T19" s="122"/>
      <c r="U19" s="123"/>
    </row>
    <row r="20" spans="1:21" ht="82.5" x14ac:dyDescent="0.3">
      <c r="A20" s="80" t="s">
        <v>549</v>
      </c>
      <c r="B20" s="70" t="s">
        <v>552</v>
      </c>
      <c r="C20" s="69" t="s">
        <v>546</v>
      </c>
      <c r="D20" s="70" t="s">
        <v>775</v>
      </c>
      <c r="E20" s="69" t="s">
        <v>712</v>
      </c>
      <c r="F20" s="81" t="s">
        <v>169</v>
      </c>
      <c r="G20" s="81" t="s">
        <v>116</v>
      </c>
      <c r="H20" s="81"/>
      <c r="I20" s="70"/>
      <c r="J20" s="86"/>
      <c r="K20" s="83"/>
      <c r="L20" s="83"/>
      <c r="M20" s="83"/>
      <c r="N20" s="83"/>
      <c r="O20" s="83"/>
      <c r="P20" s="83"/>
      <c r="Q20" s="83" t="s">
        <v>537</v>
      </c>
      <c r="R20" s="83"/>
      <c r="S20" s="83" t="s">
        <v>537</v>
      </c>
      <c r="T20" s="122"/>
      <c r="U20" s="123"/>
    </row>
    <row r="21" spans="1:21" ht="82.5" x14ac:dyDescent="0.3">
      <c r="A21" s="115" t="s">
        <v>218</v>
      </c>
      <c r="B21" s="116" t="s">
        <v>100</v>
      </c>
      <c r="C21" s="114" t="s">
        <v>190</v>
      </c>
      <c r="D21" s="116" t="s">
        <v>713</v>
      </c>
      <c r="E21" s="69" t="s">
        <v>758</v>
      </c>
      <c r="F21" s="81" t="s">
        <v>169</v>
      </c>
      <c r="G21" s="81" t="s">
        <v>131</v>
      </c>
      <c r="H21" s="81"/>
      <c r="I21" s="70"/>
      <c r="J21" s="86"/>
      <c r="K21" s="83"/>
      <c r="L21" s="83"/>
      <c r="M21" s="83"/>
      <c r="N21" s="83"/>
      <c r="O21" s="83"/>
      <c r="P21" s="83"/>
      <c r="Q21" s="83" t="s">
        <v>537</v>
      </c>
      <c r="R21" s="83"/>
      <c r="S21" s="83" t="s">
        <v>537</v>
      </c>
      <c r="T21" s="122"/>
      <c r="U21" s="123"/>
    </row>
    <row r="22" spans="1:21" ht="66" x14ac:dyDescent="0.3">
      <c r="A22" s="120" t="s">
        <v>219</v>
      </c>
      <c r="B22" s="116" t="s">
        <v>100</v>
      </c>
      <c r="C22" s="114" t="s">
        <v>190</v>
      </c>
      <c r="D22" s="116" t="s">
        <v>714</v>
      </c>
      <c r="E22" s="69" t="s">
        <v>758</v>
      </c>
      <c r="F22" s="81" t="s">
        <v>169</v>
      </c>
      <c r="G22" s="81" t="s">
        <v>116</v>
      </c>
      <c r="H22" s="81"/>
      <c r="I22" s="91"/>
      <c r="J22" s="91"/>
      <c r="K22" s="101" t="s">
        <v>537</v>
      </c>
      <c r="L22" s="101" t="s">
        <v>537</v>
      </c>
      <c r="M22" s="101" t="s">
        <v>537</v>
      </c>
      <c r="N22" s="101" t="s">
        <v>537</v>
      </c>
      <c r="O22" s="101" t="s">
        <v>537</v>
      </c>
      <c r="P22" s="101" t="s">
        <v>537</v>
      </c>
      <c r="Q22" s="83" t="s">
        <v>537</v>
      </c>
      <c r="R22" s="101"/>
      <c r="S22" s="83" t="s">
        <v>537</v>
      </c>
      <c r="T22" s="124"/>
      <c r="U22" s="125"/>
    </row>
    <row r="23" spans="1:21" ht="115.5" x14ac:dyDescent="0.3">
      <c r="A23" s="115" t="s">
        <v>220</v>
      </c>
      <c r="B23" s="116" t="s">
        <v>100</v>
      </c>
      <c r="C23" s="114" t="s">
        <v>193</v>
      </c>
      <c r="D23" s="116" t="s">
        <v>715</v>
      </c>
      <c r="E23" s="114" t="s">
        <v>773</v>
      </c>
      <c r="F23" s="81" t="s">
        <v>169</v>
      </c>
      <c r="G23" s="81" t="s">
        <v>116</v>
      </c>
      <c r="H23" s="81"/>
      <c r="I23" s="91"/>
      <c r="J23" s="91"/>
      <c r="K23" s="101"/>
      <c r="L23" s="101"/>
      <c r="M23" s="101"/>
      <c r="N23" s="101"/>
      <c r="O23" s="101"/>
      <c r="P23" s="101"/>
      <c r="Q23" s="83" t="s">
        <v>537</v>
      </c>
      <c r="R23" s="101"/>
      <c r="S23" s="83" t="s">
        <v>537</v>
      </c>
      <c r="T23" s="124"/>
      <c r="U23" s="125"/>
    </row>
    <row r="24" spans="1:21" ht="115.5" x14ac:dyDescent="0.3">
      <c r="A24" s="115" t="s">
        <v>221</v>
      </c>
      <c r="B24" s="116" t="s">
        <v>100</v>
      </c>
      <c r="C24" s="114" t="s">
        <v>193</v>
      </c>
      <c r="D24" s="116" t="s">
        <v>716</v>
      </c>
      <c r="E24" s="114" t="s">
        <v>773</v>
      </c>
      <c r="F24" s="81" t="s">
        <v>169</v>
      </c>
      <c r="G24" s="81" t="s">
        <v>116</v>
      </c>
      <c r="H24" s="81"/>
      <c r="I24" s="91"/>
      <c r="J24" s="91"/>
      <c r="K24" s="101" t="s">
        <v>537</v>
      </c>
      <c r="L24" s="101" t="s">
        <v>537</v>
      </c>
      <c r="M24" s="101" t="s">
        <v>537</v>
      </c>
      <c r="N24" s="101" t="s">
        <v>537</v>
      </c>
      <c r="O24" s="101" t="s">
        <v>537</v>
      </c>
      <c r="P24" s="101" t="s">
        <v>537</v>
      </c>
      <c r="Q24" s="83" t="s">
        <v>537</v>
      </c>
      <c r="R24" s="101"/>
      <c r="S24" s="83" t="s">
        <v>537</v>
      </c>
      <c r="T24" s="124"/>
      <c r="U24" s="125"/>
    </row>
    <row r="25" spans="1:21" ht="82.5" x14ac:dyDescent="0.3">
      <c r="A25" s="115" t="s">
        <v>222</v>
      </c>
      <c r="B25" s="116" t="s">
        <v>100</v>
      </c>
      <c r="C25" s="114" t="s">
        <v>136</v>
      </c>
      <c r="D25" s="116" t="s">
        <v>665</v>
      </c>
      <c r="E25" s="114" t="s">
        <v>763</v>
      </c>
      <c r="F25" s="81" t="s">
        <v>169</v>
      </c>
      <c r="G25" s="117" t="s">
        <v>131</v>
      </c>
      <c r="H25" s="117"/>
      <c r="I25" s="91"/>
      <c r="J25" s="91"/>
      <c r="K25" s="101"/>
      <c r="L25" s="101"/>
      <c r="M25" s="101"/>
      <c r="N25" s="101"/>
      <c r="O25" s="101"/>
      <c r="P25" s="101"/>
      <c r="Q25" s="83" t="s">
        <v>537</v>
      </c>
      <c r="R25" s="101"/>
      <c r="S25" s="83" t="s">
        <v>537</v>
      </c>
      <c r="T25" s="124"/>
      <c r="U25" s="125"/>
    </row>
    <row r="26" spans="1:21" ht="82.5" x14ac:dyDescent="0.3">
      <c r="A26" s="115" t="s">
        <v>223</v>
      </c>
      <c r="B26" s="116" t="s">
        <v>100</v>
      </c>
      <c r="C26" s="114" t="s">
        <v>136</v>
      </c>
      <c r="D26" s="116" t="s">
        <v>717</v>
      </c>
      <c r="E26" s="114" t="s">
        <v>763</v>
      </c>
      <c r="F26" s="81" t="s">
        <v>169</v>
      </c>
      <c r="G26" s="117" t="s">
        <v>116</v>
      </c>
      <c r="H26" s="117"/>
      <c r="I26" s="91"/>
      <c r="J26" s="91"/>
      <c r="K26" s="101" t="s">
        <v>537</v>
      </c>
      <c r="L26" s="101" t="s">
        <v>537</v>
      </c>
      <c r="M26" s="101" t="s">
        <v>537</v>
      </c>
      <c r="N26" s="101" t="s">
        <v>537</v>
      </c>
      <c r="O26" s="101" t="s">
        <v>537</v>
      </c>
      <c r="P26" s="101" t="s">
        <v>537</v>
      </c>
      <c r="Q26" s="83" t="s">
        <v>537</v>
      </c>
      <c r="R26" s="101"/>
      <c r="S26" s="83" t="s">
        <v>537</v>
      </c>
      <c r="T26" s="124"/>
      <c r="U26" s="125"/>
    </row>
    <row r="27" spans="1:21" ht="49.5" x14ac:dyDescent="0.3">
      <c r="A27" s="115" t="s">
        <v>224</v>
      </c>
      <c r="B27" s="116" t="s">
        <v>100</v>
      </c>
      <c r="C27" s="114" t="s">
        <v>197</v>
      </c>
      <c r="D27" s="116" t="s">
        <v>718</v>
      </c>
      <c r="E27" s="69" t="s">
        <v>764</v>
      </c>
      <c r="F27" s="81" t="s">
        <v>169</v>
      </c>
      <c r="G27" s="81" t="s">
        <v>131</v>
      </c>
      <c r="H27" s="81"/>
      <c r="I27" s="91"/>
      <c r="J27" s="91"/>
      <c r="K27" s="101"/>
      <c r="L27" s="101"/>
      <c r="M27" s="101"/>
      <c r="N27" s="101"/>
      <c r="O27" s="101"/>
      <c r="P27" s="101"/>
      <c r="Q27" s="83" t="s">
        <v>537</v>
      </c>
      <c r="R27" s="101"/>
      <c r="S27" s="83" t="s">
        <v>537</v>
      </c>
      <c r="T27" s="124"/>
      <c r="U27" s="125"/>
    </row>
    <row r="28" spans="1:21" ht="49.5" x14ac:dyDescent="0.3">
      <c r="A28" s="115" t="s">
        <v>225</v>
      </c>
      <c r="B28" s="116" t="s">
        <v>100</v>
      </c>
      <c r="C28" s="114" t="s">
        <v>197</v>
      </c>
      <c r="D28" s="116" t="s">
        <v>719</v>
      </c>
      <c r="E28" s="69" t="s">
        <v>764</v>
      </c>
      <c r="F28" s="81" t="s">
        <v>169</v>
      </c>
      <c r="G28" s="81" t="s">
        <v>116</v>
      </c>
      <c r="H28" s="81"/>
      <c r="I28" s="91"/>
      <c r="J28" s="91"/>
      <c r="K28" s="101" t="s">
        <v>537</v>
      </c>
      <c r="L28" s="101" t="s">
        <v>537</v>
      </c>
      <c r="M28" s="101" t="s">
        <v>537</v>
      </c>
      <c r="N28" s="101" t="s">
        <v>537</v>
      </c>
      <c r="O28" s="101" t="s">
        <v>537</v>
      </c>
      <c r="P28" s="101" t="s">
        <v>537</v>
      </c>
      <c r="Q28" s="83" t="s">
        <v>537</v>
      </c>
      <c r="R28" s="101"/>
      <c r="S28" s="83" t="s">
        <v>537</v>
      </c>
      <c r="T28" s="124"/>
      <c r="U28" s="125"/>
    </row>
    <row r="29" spans="1:21" ht="363" x14ac:dyDescent="0.3">
      <c r="A29" s="80" t="s">
        <v>226</v>
      </c>
      <c r="B29" s="70" t="s">
        <v>100</v>
      </c>
      <c r="C29" s="118" t="s">
        <v>124</v>
      </c>
      <c r="D29" s="104" t="s">
        <v>720</v>
      </c>
      <c r="E29" s="114" t="s">
        <v>765</v>
      </c>
      <c r="F29" s="81" t="s">
        <v>169</v>
      </c>
      <c r="G29" s="81" t="s">
        <v>116</v>
      </c>
      <c r="H29" s="81"/>
      <c r="I29" s="91"/>
      <c r="J29" s="91"/>
      <c r="K29" s="101"/>
      <c r="L29" s="101"/>
      <c r="M29" s="101"/>
      <c r="N29" s="101"/>
      <c r="O29" s="101"/>
      <c r="P29" s="101"/>
      <c r="Q29" s="83" t="s">
        <v>537</v>
      </c>
      <c r="R29" s="101"/>
      <c r="S29" s="83" t="s">
        <v>537</v>
      </c>
      <c r="T29" s="124"/>
      <c r="U29" s="125"/>
    </row>
    <row r="30" spans="1:21" ht="363" x14ac:dyDescent="0.3">
      <c r="A30" s="80" t="s">
        <v>227</v>
      </c>
      <c r="B30" s="70" t="s">
        <v>100</v>
      </c>
      <c r="C30" s="118" t="s">
        <v>124</v>
      </c>
      <c r="D30" s="104" t="s">
        <v>721</v>
      </c>
      <c r="E30" s="114" t="s">
        <v>765</v>
      </c>
      <c r="F30" s="81" t="s">
        <v>169</v>
      </c>
      <c r="G30" s="81" t="s">
        <v>116</v>
      </c>
      <c r="H30" s="81"/>
      <c r="I30" s="91"/>
      <c r="J30" s="91"/>
      <c r="K30" s="101" t="s">
        <v>537</v>
      </c>
      <c r="L30" s="101" t="s">
        <v>537</v>
      </c>
      <c r="M30" s="101" t="s">
        <v>537</v>
      </c>
      <c r="N30" s="101" t="s">
        <v>537</v>
      </c>
      <c r="O30" s="101" t="s">
        <v>537</v>
      </c>
      <c r="P30" s="101" t="s">
        <v>537</v>
      </c>
      <c r="Q30" s="83" t="s">
        <v>537</v>
      </c>
      <c r="R30" s="101"/>
      <c r="S30" s="83" t="s">
        <v>537</v>
      </c>
      <c r="T30" s="124"/>
      <c r="U30" s="125"/>
    </row>
    <row r="31" spans="1:21" ht="181.5" x14ac:dyDescent="0.3">
      <c r="A31" s="115" t="s">
        <v>228</v>
      </c>
      <c r="B31" s="106" t="s">
        <v>100</v>
      </c>
      <c r="C31" s="114" t="s">
        <v>200</v>
      </c>
      <c r="D31" s="116" t="s">
        <v>722</v>
      </c>
      <c r="E31" s="69" t="s">
        <v>766</v>
      </c>
      <c r="F31" s="81" t="s">
        <v>169</v>
      </c>
      <c r="G31" s="81" t="s">
        <v>116</v>
      </c>
      <c r="H31" s="81"/>
      <c r="I31" s="91"/>
      <c r="J31" s="91"/>
      <c r="K31" s="101"/>
      <c r="L31" s="101"/>
      <c r="M31" s="101"/>
      <c r="N31" s="101"/>
      <c r="O31" s="101"/>
      <c r="P31" s="101"/>
      <c r="Q31" s="83" t="s">
        <v>537</v>
      </c>
      <c r="R31" s="101"/>
      <c r="S31" s="83" t="s">
        <v>537</v>
      </c>
      <c r="T31" s="124"/>
      <c r="U31" s="125"/>
    </row>
    <row r="32" spans="1:21" ht="181.5" x14ac:dyDescent="0.3">
      <c r="A32" s="115" t="s">
        <v>229</v>
      </c>
      <c r="B32" s="106" t="s">
        <v>100</v>
      </c>
      <c r="C32" s="114" t="s">
        <v>200</v>
      </c>
      <c r="D32" s="116" t="s">
        <v>723</v>
      </c>
      <c r="E32" s="69" t="s">
        <v>766</v>
      </c>
      <c r="F32" s="81" t="s">
        <v>169</v>
      </c>
      <c r="G32" s="81" t="s">
        <v>116</v>
      </c>
      <c r="H32" s="81"/>
      <c r="I32" s="91"/>
      <c r="J32" s="91"/>
      <c r="K32" s="101" t="s">
        <v>537</v>
      </c>
      <c r="L32" s="101" t="s">
        <v>537</v>
      </c>
      <c r="M32" s="101" t="s">
        <v>537</v>
      </c>
      <c r="N32" s="101" t="s">
        <v>537</v>
      </c>
      <c r="O32" s="101" t="s">
        <v>537</v>
      </c>
      <c r="P32" s="101" t="s">
        <v>537</v>
      </c>
      <c r="Q32" s="83" t="s">
        <v>537</v>
      </c>
      <c r="R32" s="101"/>
      <c r="S32" s="83" t="s">
        <v>537</v>
      </c>
      <c r="T32" s="124"/>
      <c r="U32" s="125"/>
    </row>
    <row r="33" spans="1:21" ht="132" x14ac:dyDescent="0.3">
      <c r="A33" s="115" t="s">
        <v>230</v>
      </c>
      <c r="B33" s="116" t="s">
        <v>100</v>
      </c>
      <c r="C33" s="114" t="s">
        <v>203</v>
      </c>
      <c r="D33" s="116" t="s">
        <v>724</v>
      </c>
      <c r="E33" s="69" t="s">
        <v>767</v>
      </c>
      <c r="F33" s="81" t="s">
        <v>169</v>
      </c>
      <c r="G33" s="81" t="s">
        <v>116</v>
      </c>
      <c r="H33" s="81"/>
      <c r="I33" s="91"/>
      <c r="J33" s="91"/>
      <c r="K33" s="101"/>
      <c r="L33" s="101"/>
      <c r="M33" s="101"/>
      <c r="N33" s="101"/>
      <c r="O33" s="101"/>
      <c r="P33" s="101"/>
      <c r="Q33" s="83" t="s">
        <v>537</v>
      </c>
      <c r="R33" s="101"/>
      <c r="S33" s="83" t="s">
        <v>537</v>
      </c>
      <c r="T33" s="124"/>
      <c r="U33" s="125"/>
    </row>
    <row r="34" spans="1:21" ht="82.5" x14ac:dyDescent="0.3">
      <c r="A34" s="115" t="s">
        <v>231</v>
      </c>
      <c r="B34" s="116" t="s">
        <v>100</v>
      </c>
      <c r="C34" s="114" t="s">
        <v>203</v>
      </c>
      <c r="D34" s="116" t="s">
        <v>725</v>
      </c>
      <c r="E34" s="69" t="s">
        <v>767</v>
      </c>
      <c r="F34" s="81" t="s">
        <v>169</v>
      </c>
      <c r="G34" s="81" t="s">
        <v>116</v>
      </c>
      <c r="H34" s="81"/>
      <c r="I34" s="91"/>
      <c r="J34" s="91"/>
      <c r="K34" s="101" t="s">
        <v>537</v>
      </c>
      <c r="L34" s="101" t="s">
        <v>537</v>
      </c>
      <c r="M34" s="101" t="s">
        <v>537</v>
      </c>
      <c r="N34" s="101" t="s">
        <v>537</v>
      </c>
      <c r="O34" s="101" t="s">
        <v>537</v>
      </c>
      <c r="P34" s="101" t="s">
        <v>537</v>
      </c>
      <c r="Q34" s="83" t="s">
        <v>537</v>
      </c>
      <c r="R34" s="101"/>
      <c r="S34" s="83" t="s">
        <v>537</v>
      </c>
      <c r="T34" s="124"/>
      <c r="U34" s="125"/>
    </row>
    <row r="35" spans="1:21" ht="49.5" x14ac:dyDescent="0.3">
      <c r="A35" s="115" t="s">
        <v>232</v>
      </c>
      <c r="B35" s="116" t="s">
        <v>100</v>
      </c>
      <c r="C35" s="114" t="s">
        <v>206</v>
      </c>
      <c r="D35" s="116" t="s">
        <v>726</v>
      </c>
      <c r="E35" s="69" t="s">
        <v>708</v>
      </c>
      <c r="F35" s="81" t="s">
        <v>169</v>
      </c>
      <c r="G35" s="81" t="s">
        <v>116</v>
      </c>
      <c r="H35" s="81"/>
      <c r="I35" s="91"/>
      <c r="J35" s="91"/>
      <c r="K35" s="101"/>
      <c r="L35" s="101"/>
      <c r="M35" s="101"/>
      <c r="N35" s="101"/>
      <c r="O35" s="101"/>
      <c r="P35" s="101"/>
      <c r="Q35" s="83" t="s">
        <v>537</v>
      </c>
      <c r="R35" s="101"/>
      <c r="S35" s="83" t="s">
        <v>537</v>
      </c>
      <c r="T35" s="124"/>
      <c r="U35" s="125"/>
    </row>
    <row r="36" spans="1:21" ht="33" x14ac:dyDescent="0.3">
      <c r="A36" s="115" t="s">
        <v>233</v>
      </c>
      <c r="B36" s="116" t="s">
        <v>100</v>
      </c>
      <c r="C36" s="114" t="s">
        <v>206</v>
      </c>
      <c r="D36" s="116" t="s">
        <v>727</v>
      </c>
      <c r="E36" s="69" t="s">
        <v>708</v>
      </c>
      <c r="F36" s="81" t="s">
        <v>169</v>
      </c>
      <c r="G36" s="81" t="s">
        <v>116</v>
      </c>
      <c r="H36" s="81"/>
      <c r="I36" s="91"/>
      <c r="J36" s="91"/>
      <c r="K36" s="101" t="s">
        <v>537</v>
      </c>
      <c r="L36" s="101" t="s">
        <v>537</v>
      </c>
      <c r="M36" s="101" t="s">
        <v>537</v>
      </c>
      <c r="N36" s="101" t="s">
        <v>537</v>
      </c>
      <c r="O36" s="101" t="s">
        <v>537</v>
      </c>
      <c r="P36" s="101" t="s">
        <v>537</v>
      </c>
      <c r="Q36" s="83" t="s">
        <v>537</v>
      </c>
      <c r="R36" s="101"/>
      <c r="S36" s="83" t="s">
        <v>537</v>
      </c>
      <c r="T36" s="124"/>
      <c r="U36" s="125"/>
    </row>
    <row r="37" spans="1:21" ht="115.5" x14ac:dyDescent="0.3">
      <c r="A37" s="115" t="s">
        <v>234</v>
      </c>
      <c r="B37" s="116" t="s">
        <v>100</v>
      </c>
      <c r="C37" s="114" t="s">
        <v>208</v>
      </c>
      <c r="D37" s="116" t="s">
        <v>728</v>
      </c>
      <c r="E37" s="69" t="s">
        <v>768</v>
      </c>
      <c r="F37" s="81" t="s">
        <v>169</v>
      </c>
      <c r="G37" s="81" t="s">
        <v>131</v>
      </c>
      <c r="H37" s="81"/>
      <c r="I37" s="91"/>
      <c r="J37" s="91"/>
      <c r="K37" s="101"/>
      <c r="L37" s="101"/>
      <c r="M37" s="101"/>
      <c r="N37" s="101"/>
      <c r="O37" s="101"/>
      <c r="P37" s="101"/>
      <c r="Q37" s="83" t="s">
        <v>537</v>
      </c>
      <c r="R37" s="101"/>
      <c r="S37" s="83" t="s">
        <v>537</v>
      </c>
      <c r="T37" s="124"/>
      <c r="U37" s="125"/>
    </row>
    <row r="38" spans="1:21" ht="115.5" x14ac:dyDescent="0.3">
      <c r="A38" s="115" t="s">
        <v>235</v>
      </c>
      <c r="B38" s="116" t="s">
        <v>100</v>
      </c>
      <c r="C38" s="114" t="s">
        <v>208</v>
      </c>
      <c r="D38" s="116" t="s">
        <v>729</v>
      </c>
      <c r="E38" s="69" t="s">
        <v>768</v>
      </c>
      <c r="F38" s="81" t="s">
        <v>169</v>
      </c>
      <c r="G38" s="81" t="s">
        <v>116</v>
      </c>
      <c r="H38" s="81"/>
      <c r="I38" s="91"/>
      <c r="J38" s="91"/>
      <c r="K38" s="101" t="s">
        <v>537</v>
      </c>
      <c r="L38" s="101" t="s">
        <v>537</v>
      </c>
      <c r="M38" s="101" t="s">
        <v>537</v>
      </c>
      <c r="N38" s="101" t="s">
        <v>537</v>
      </c>
      <c r="O38" s="101" t="s">
        <v>537</v>
      </c>
      <c r="P38" s="101" t="s">
        <v>537</v>
      </c>
      <c r="Q38" s="83" t="s">
        <v>537</v>
      </c>
      <c r="R38" s="101"/>
      <c r="S38" s="83" t="s">
        <v>537</v>
      </c>
      <c r="T38" s="124"/>
      <c r="U38" s="125"/>
    </row>
    <row r="39" spans="1:21" ht="82.5" x14ac:dyDescent="0.3">
      <c r="A39" s="115" t="s">
        <v>236</v>
      </c>
      <c r="B39" s="116" t="s">
        <v>100</v>
      </c>
      <c r="C39" s="114" t="s">
        <v>126</v>
      </c>
      <c r="D39" s="116" t="s">
        <v>661</v>
      </c>
      <c r="E39" s="69" t="s">
        <v>769</v>
      </c>
      <c r="F39" s="81" t="s">
        <v>169</v>
      </c>
      <c r="G39" s="81" t="s">
        <v>237</v>
      </c>
      <c r="H39" s="81"/>
      <c r="I39" s="91"/>
      <c r="J39" s="91"/>
      <c r="K39" s="101"/>
      <c r="L39" s="101"/>
      <c r="M39" s="101"/>
      <c r="N39" s="101"/>
      <c r="O39" s="101"/>
      <c r="P39" s="101"/>
      <c r="Q39" s="83" t="s">
        <v>537</v>
      </c>
      <c r="R39" s="101"/>
      <c r="S39" s="83" t="s">
        <v>537</v>
      </c>
      <c r="T39" s="124"/>
      <c r="U39" s="125"/>
    </row>
    <row r="40" spans="1:21" ht="82.5" x14ac:dyDescent="0.3">
      <c r="A40" s="115" t="s">
        <v>238</v>
      </c>
      <c r="B40" s="116" t="s">
        <v>100</v>
      </c>
      <c r="C40" s="114" t="s">
        <v>126</v>
      </c>
      <c r="D40" s="116" t="s">
        <v>730</v>
      </c>
      <c r="E40" s="69" t="s">
        <v>769</v>
      </c>
      <c r="F40" s="81" t="s">
        <v>169</v>
      </c>
      <c r="G40" s="81" t="s">
        <v>116</v>
      </c>
      <c r="H40" s="81"/>
      <c r="I40" s="91"/>
      <c r="J40" s="91"/>
      <c r="K40" s="101" t="s">
        <v>537</v>
      </c>
      <c r="L40" s="101" t="s">
        <v>537</v>
      </c>
      <c r="M40" s="101" t="s">
        <v>537</v>
      </c>
      <c r="N40" s="101" t="s">
        <v>537</v>
      </c>
      <c r="O40" s="101" t="s">
        <v>537</v>
      </c>
      <c r="P40" s="101" t="s">
        <v>537</v>
      </c>
      <c r="Q40" s="83" t="s">
        <v>537</v>
      </c>
      <c r="R40" s="101"/>
      <c r="S40" s="83" t="s">
        <v>537</v>
      </c>
      <c r="T40" s="124"/>
      <c r="U40" s="125"/>
    </row>
    <row r="41" spans="1:21" ht="115.5" x14ac:dyDescent="0.3">
      <c r="A41" s="115" t="s">
        <v>239</v>
      </c>
      <c r="B41" s="116" t="s">
        <v>100</v>
      </c>
      <c r="C41" s="114" t="s">
        <v>211</v>
      </c>
      <c r="D41" s="116" t="s">
        <v>731</v>
      </c>
      <c r="E41" s="114" t="s">
        <v>770</v>
      </c>
      <c r="F41" s="81" t="s">
        <v>169</v>
      </c>
      <c r="G41" s="81" t="s">
        <v>240</v>
      </c>
      <c r="H41" s="81"/>
      <c r="I41" s="91"/>
      <c r="J41" s="91"/>
      <c r="K41" s="101"/>
      <c r="L41" s="101"/>
      <c r="M41" s="101"/>
      <c r="N41" s="101"/>
      <c r="O41" s="101"/>
      <c r="P41" s="101"/>
      <c r="Q41" s="83" t="s">
        <v>537</v>
      </c>
      <c r="R41" s="101"/>
      <c r="S41" s="83" t="s">
        <v>537</v>
      </c>
      <c r="T41" s="124"/>
      <c r="U41" s="125"/>
    </row>
    <row r="42" spans="1:21" ht="115.5" x14ac:dyDescent="0.3">
      <c r="A42" s="115" t="s">
        <v>241</v>
      </c>
      <c r="B42" s="116" t="s">
        <v>100</v>
      </c>
      <c r="C42" s="114" t="s">
        <v>211</v>
      </c>
      <c r="D42" s="116" t="s">
        <v>732</v>
      </c>
      <c r="E42" s="114" t="s">
        <v>770</v>
      </c>
      <c r="F42" s="81" t="s">
        <v>169</v>
      </c>
      <c r="G42" s="81" t="s">
        <v>116</v>
      </c>
      <c r="H42" s="81"/>
      <c r="I42" s="91"/>
      <c r="J42" s="91"/>
      <c r="K42" s="101" t="s">
        <v>537</v>
      </c>
      <c r="L42" s="101" t="s">
        <v>537</v>
      </c>
      <c r="M42" s="101" t="s">
        <v>537</v>
      </c>
      <c r="N42" s="101" t="s">
        <v>537</v>
      </c>
      <c r="O42" s="101" t="s">
        <v>537</v>
      </c>
      <c r="P42" s="101" t="s">
        <v>537</v>
      </c>
      <c r="Q42" s="83" t="s">
        <v>537</v>
      </c>
      <c r="R42" s="101"/>
      <c r="S42" s="83" t="s">
        <v>537</v>
      </c>
      <c r="T42" s="124"/>
      <c r="U42" s="125"/>
    </row>
    <row r="43" spans="1:21" ht="396" x14ac:dyDescent="0.3">
      <c r="A43" s="115" t="s">
        <v>242</v>
      </c>
      <c r="B43" s="119" t="s">
        <v>100</v>
      </c>
      <c r="C43" s="114" t="s">
        <v>214</v>
      </c>
      <c r="D43" s="116" t="s">
        <v>733</v>
      </c>
      <c r="E43" s="69" t="s">
        <v>772</v>
      </c>
      <c r="F43" s="81" t="s">
        <v>169</v>
      </c>
      <c r="G43" s="81" t="s">
        <v>116</v>
      </c>
      <c r="H43" s="81"/>
      <c r="I43" s="91"/>
      <c r="J43" s="91"/>
      <c r="K43" s="101"/>
      <c r="L43" s="101"/>
      <c r="M43" s="101"/>
      <c r="N43" s="101"/>
      <c r="O43" s="101"/>
      <c r="P43" s="101"/>
      <c r="Q43" s="83" t="s">
        <v>537</v>
      </c>
      <c r="R43" s="101"/>
      <c r="S43" s="83" t="s">
        <v>537</v>
      </c>
      <c r="T43" s="124"/>
      <c r="U43" s="125"/>
    </row>
    <row r="44" spans="1:21" ht="396" x14ac:dyDescent="0.3">
      <c r="A44" s="115" t="s">
        <v>243</v>
      </c>
      <c r="B44" s="119" t="s">
        <v>100</v>
      </c>
      <c r="C44" s="114" t="s">
        <v>214</v>
      </c>
      <c r="D44" s="116" t="s">
        <v>734</v>
      </c>
      <c r="E44" s="69" t="s">
        <v>772</v>
      </c>
      <c r="F44" s="81" t="s">
        <v>169</v>
      </c>
      <c r="G44" s="81" t="s">
        <v>116</v>
      </c>
      <c r="H44" s="81"/>
      <c r="I44" s="91"/>
      <c r="J44" s="91"/>
      <c r="K44" s="101" t="s">
        <v>537</v>
      </c>
      <c r="L44" s="101" t="s">
        <v>537</v>
      </c>
      <c r="M44" s="101" t="s">
        <v>537</v>
      </c>
      <c r="N44" s="101" t="s">
        <v>537</v>
      </c>
      <c r="O44" s="101" t="s">
        <v>537</v>
      </c>
      <c r="P44" s="101" t="s">
        <v>537</v>
      </c>
      <c r="Q44" s="83" t="s">
        <v>537</v>
      </c>
      <c r="R44" s="101"/>
      <c r="S44" s="83" t="s">
        <v>537</v>
      </c>
      <c r="T44" s="124"/>
      <c r="U44" s="125"/>
    </row>
    <row r="45" spans="1:21" ht="33" x14ac:dyDescent="0.3">
      <c r="A45" s="115" t="s">
        <v>556</v>
      </c>
      <c r="B45" s="119" t="s">
        <v>100</v>
      </c>
      <c r="C45" s="114" t="s">
        <v>555</v>
      </c>
      <c r="D45" s="116" t="s">
        <v>776</v>
      </c>
      <c r="E45" s="114" t="s">
        <v>547</v>
      </c>
      <c r="F45" s="121" t="s">
        <v>169</v>
      </c>
      <c r="G45" s="84" t="s">
        <v>116</v>
      </c>
      <c r="H45" s="84"/>
      <c r="I45" s="91"/>
      <c r="J45" s="91"/>
      <c r="K45" s="101"/>
      <c r="L45" s="101"/>
      <c r="M45" s="101"/>
      <c r="N45" s="101"/>
      <c r="O45" s="101"/>
      <c r="P45" s="101"/>
      <c r="Q45" s="83" t="s">
        <v>537</v>
      </c>
      <c r="R45" s="101"/>
      <c r="S45" s="83" t="s">
        <v>537</v>
      </c>
      <c r="T45" s="124"/>
      <c r="U45" s="125"/>
    </row>
    <row r="46" spans="1:21" ht="33" x14ac:dyDescent="0.3">
      <c r="A46" s="115" t="s">
        <v>562</v>
      </c>
      <c r="B46" s="119" t="s">
        <v>100</v>
      </c>
      <c r="C46" s="114" t="s">
        <v>555</v>
      </c>
      <c r="D46" s="116" t="s">
        <v>777</v>
      </c>
      <c r="E46" s="114" t="s">
        <v>547</v>
      </c>
      <c r="F46" s="121" t="s">
        <v>169</v>
      </c>
      <c r="G46" s="84" t="s">
        <v>116</v>
      </c>
      <c r="H46" s="84"/>
      <c r="I46" s="91"/>
      <c r="J46" s="91"/>
      <c r="K46" s="101"/>
      <c r="L46" s="101"/>
      <c r="M46" s="101"/>
      <c r="N46" s="101"/>
      <c r="O46" s="101"/>
      <c r="P46" s="101"/>
      <c r="Q46" s="83" t="s">
        <v>537</v>
      </c>
      <c r="R46" s="101"/>
      <c r="S46" s="83" t="s">
        <v>537</v>
      </c>
      <c r="T46" s="124"/>
      <c r="U46" s="125"/>
    </row>
    <row r="47" spans="1:21" ht="66" x14ac:dyDescent="0.3">
      <c r="A47" s="80" t="s">
        <v>557</v>
      </c>
      <c r="B47" s="70" t="s">
        <v>552</v>
      </c>
      <c r="C47" s="69" t="s">
        <v>546</v>
      </c>
      <c r="D47" s="70" t="s">
        <v>778</v>
      </c>
      <c r="E47" s="69" t="s">
        <v>735</v>
      </c>
      <c r="F47" s="81" t="s">
        <v>169</v>
      </c>
      <c r="G47" s="84" t="s">
        <v>116</v>
      </c>
      <c r="H47" s="84"/>
      <c r="I47" s="91"/>
      <c r="J47" s="91"/>
      <c r="K47" s="101"/>
      <c r="L47" s="101"/>
      <c r="M47" s="101"/>
      <c r="N47" s="101"/>
      <c r="O47" s="101"/>
      <c r="P47" s="101"/>
      <c r="Q47" s="83" t="s">
        <v>537</v>
      </c>
      <c r="R47" s="101"/>
      <c r="S47" s="83" t="s">
        <v>537</v>
      </c>
      <c r="T47" s="124"/>
      <c r="U47" s="125"/>
    </row>
    <row r="48" spans="1:21" ht="132" x14ac:dyDescent="0.3">
      <c r="A48" s="80" t="s">
        <v>558</v>
      </c>
      <c r="B48" s="70" t="s">
        <v>552</v>
      </c>
      <c r="C48" s="69" t="s">
        <v>546</v>
      </c>
      <c r="D48" s="70" t="s">
        <v>779</v>
      </c>
      <c r="E48" s="69" t="s">
        <v>736</v>
      </c>
      <c r="F48" s="81" t="s">
        <v>169</v>
      </c>
      <c r="G48" s="84" t="s">
        <v>116</v>
      </c>
      <c r="H48" s="84"/>
      <c r="I48" s="91"/>
      <c r="J48" s="91"/>
      <c r="K48" s="101" t="s">
        <v>537</v>
      </c>
      <c r="L48" s="101" t="s">
        <v>537</v>
      </c>
      <c r="M48" s="101" t="s">
        <v>537</v>
      </c>
      <c r="N48" s="101" t="s">
        <v>537</v>
      </c>
      <c r="O48" s="101" t="s">
        <v>537</v>
      </c>
      <c r="P48" s="101" t="s">
        <v>537</v>
      </c>
      <c r="Q48" s="83" t="s">
        <v>537</v>
      </c>
      <c r="R48" s="101"/>
      <c r="S48" s="83" t="s">
        <v>537</v>
      </c>
      <c r="T48" s="124"/>
      <c r="U48" s="125"/>
    </row>
    <row r="49" spans="1:21" ht="99" x14ac:dyDescent="0.3">
      <c r="A49" s="80" t="s">
        <v>559</v>
      </c>
      <c r="B49" s="70" t="s">
        <v>552</v>
      </c>
      <c r="C49" s="69" t="s">
        <v>546</v>
      </c>
      <c r="D49" s="70" t="s">
        <v>780</v>
      </c>
      <c r="E49" s="69" t="s">
        <v>737</v>
      </c>
      <c r="F49" s="81" t="s">
        <v>169</v>
      </c>
      <c r="G49" s="84" t="s">
        <v>116</v>
      </c>
      <c r="H49" s="84"/>
      <c r="I49" s="91"/>
      <c r="J49" s="91"/>
      <c r="K49" s="101"/>
      <c r="L49" s="101"/>
      <c r="M49" s="101"/>
      <c r="N49" s="101"/>
      <c r="O49" s="101"/>
      <c r="P49" s="101"/>
      <c r="Q49" s="83" t="s">
        <v>537</v>
      </c>
      <c r="R49" s="101"/>
      <c r="S49" s="83" t="s">
        <v>537</v>
      </c>
      <c r="T49" s="124"/>
      <c r="U49" s="125"/>
    </row>
    <row r="50" spans="1:21" ht="66" x14ac:dyDescent="0.3">
      <c r="A50" s="115" t="s">
        <v>244</v>
      </c>
      <c r="B50" s="116" t="s">
        <v>100</v>
      </c>
      <c r="C50" s="114" t="s">
        <v>190</v>
      </c>
      <c r="D50" s="116" t="s">
        <v>738</v>
      </c>
      <c r="E50" s="69" t="s">
        <v>758</v>
      </c>
      <c r="F50" s="81" t="s">
        <v>169</v>
      </c>
      <c r="G50" s="81" t="s">
        <v>131</v>
      </c>
      <c r="H50" s="81"/>
      <c r="I50" s="91"/>
      <c r="J50" s="91"/>
      <c r="K50" s="101"/>
      <c r="L50" s="101"/>
      <c r="M50" s="101"/>
      <c r="N50" s="101"/>
      <c r="O50" s="101"/>
      <c r="P50" s="101"/>
      <c r="Q50" s="83" t="s">
        <v>537</v>
      </c>
      <c r="R50" s="101"/>
      <c r="S50" s="83" t="s">
        <v>537</v>
      </c>
      <c r="T50" s="124"/>
      <c r="U50" s="125"/>
    </row>
    <row r="51" spans="1:21" ht="66" x14ac:dyDescent="0.3">
      <c r="A51" s="115" t="s">
        <v>245</v>
      </c>
      <c r="B51" s="116" t="s">
        <v>100</v>
      </c>
      <c r="C51" s="114" t="s">
        <v>190</v>
      </c>
      <c r="D51" s="116" t="s">
        <v>739</v>
      </c>
      <c r="E51" s="69" t="s">
        <v>758</v>
      </c>
      <c r="F51" s="81" t="s">
        <v>169</v>
      </c>
      <c r="G51" s="81" t="s">
        <v>116</v>
      </c>
      <c r="H51" s="81"/>
      <c r="I51" s="91"/>
      <c r="J51" s="91"/>
      <c r="K51" s="101" t="s">
        <v>537</v>
      </c>
      <c r="L51" s="101" t="s">
        <v>537</v>
      </c>
      <c r="M51" s="101" t="s">
        <v>537</v>
      </c>
      <c r="N51" s="101" t="s">
        <v>537</v>
      </c>
      <c r="O51" s="101" t="s">
        <v>537</v>
      </c>
      <c r="P51" s="101" t="s">
        <v>537</v>
      </c>
      <c r="Q51" s="83" t="s">
        <v>537</v>
      </c>
      <c r="R51" s="101"/>
      <c r="S51" s="83" t="s">
        <v>537</v>
      </c>
      <c r="T51" s="124"/>
      <c r="U51" s="125"/>
    </row>
    <row r="52" spans="1:21" ht="115.5" x14ac:dyDescent="0.3">
      <c r="A52" s="115" t="s">
        <v>246</v>
      </c>
      <c r="B52" s="116" t="s">
        <v>100</v>
      </c>
      <c r="C52" s="114" t="s">
        <v>193</v>
      </c>
      <c r="D52" s="116" t="s">
        <v>740</v>
      </c>
      <c r="E52" s="114" t="s">
        <v>773</v>
      </c>
      <c r="F52" s="81" t="s">
        <v>169</v>
      </c>
      <c r="G52" s="81" t="s">
        <v>116</v>
      </c>
      <c r="H52" s="81"/>
      <c r="I52" s="91"/>
      <c r="J52" s="91"/>
      <c r="K52" s="101"/>
      <c r="L52" s="101"/>
      <c r="M52" s="101"/>
      <c r="N52" s="101"/>
      <c r="O52" s="101"/>
      <c r="P52" s="101"/>
      <c r="Q52" s="83" t="s">
        <v>537</v>
      </c>
      <c r="R52" s="101"/>
      <c r="S52" s="83" t="s">
        <v>537</v>
      </c>
      <c r="T52" s="124"/>
      <c r="U52" s="125"/>
    </row>
    <row r="53" spans="1:21" ht="115.5" x14ac:dyDescent="0.3">
      <c r="A53" s="115" t="s">
        <v>247</v>
      </c>
      <c r="B53" s="116" t="s">
        <v>100</v>
      </c>
      <c r="C53" s="114" t="s">
        <v>193</v>
      </c>
      <c r="D53" s="116" t="s">
        <v>741</v>
      </c>
      <c r="E53" s="114" t="s">
        <v>773</v>
      </c>
      <c r="F53" s="81" t="s">
        <v>169</v>
      </c>
      <c r="G53" s="81" t="s">
        <v>116</v>
      </c>
      <c r="H53" s="81"/>
      <c r="I53" s="91"/>
      <c r="J53" s="91"/>
      <c r="K53" s="101" t="s">
        <v>537</v>
      </c>
      <c r="L53" s="101" t="s">
        <v>537</v>
      </c>
      <c r="M53" s="101" t="s">
        <v>537</v>
      </c>
      <c r="N53" s="101" t="s">
        <v>537</v>
      </c>
      <c r="O53" s="101" t="s">
        <v>537</v>
      </c>
      <c r="P53" s="101" t="s">
        <v>537</v>
      </c>
      <c r="Q53" s="83" t="s">
        <v>537</v>
      </c>
      <c r="R53" s="101"/>
      <c r="S53" s="83" t="s">
        <v>537</v>
      </c>
      <c r="T53" s="124"/>
      <c r="U53" s="125"/>
    </row>
    <row r="54" spans="1:21" ht="82.5" x14ac:dyDescent="0.3">
      <c r="A54" s="115" t="s">
        <v>248</v>
      </c>
      <c r="B54" s="116" t="s">
        <v>100</v>
      </c>
      <c r="C54" s="114" t="s">
        <v>136</v>
      </c>
      <c r="D54" s="116" t="s">
        <v>685</v>
      </c>
      <c r="E54" s="114" t="s">
        <v>763</v>
      </c>
      <c r="F54" s="81" t="s">
        <v>169</v>
      </c>
      <c r="G54" s="117" t="s">
        <v>131</v>
      </c>
      <c r="H54" s="117"/>
      <c r="I54" s="91"/>
      <c r="J54" s="91"/>
      <c r="K54" s="101"/>
      <c r="L54" s="101"/>
      <c r="M54" s="101"/>
      <c r="N54" s="101"/>
      <c r="O54" s="101"/>
      <c r="P54" s="101"/>
      <c r="Q54" s="83" t="s">
        <v>537</v>
      </c>
      <c r="R54" s="101"/>
      <c r="S54" s="83" t="s">
        <v>537</v>
      </c>
      <c r="T54" s="124"/>
      <c r="U54" s="125"/>
    </row>
    <row r="55" spans="1:21" ht="82.5" x14ac:dyDescent="0.3">
      <c r="A55" s="115" t="s">
        <v>249</v>
      </c>
      <c r="B55" s="116" t="s">
        <v>100</v>
      </c>
      <c r="C55" s="114" t="s">
        <v>136</v>
      </c>
      <c r="D55" s="116" t="s">
        <v>742</v>
      </c>
      <c r="E55" s="114" t="s">
        <v>763</v>
      </c>
      <c r="F55" s="81" t="s">
        <v>169</v>
      </c>
      <c r="G55" s="117" t="s">
        <v>116</v>
      </c>
      <c r="H55" s="117"/>
      <c r="I55" s="91"/>
      <c r="J55" s="91"/>
      <c r="K55" s="101" t="s">
        <v>537</v>
      </c>
      <c r="L55" s="101" t="s">
        <v>537</v>
      </c>
      <c r="M55" s="101" t="s">
        <v>537</v>
      </c>
      <c r="N55" s="101" t="s">
        <v>537</v>
      </c>
      <c r="O55" s="101" t="s">
        <v>537</v>
      </c>
      <c r="P55" s="101" t="s">
        <v>537</v>
      </c>
      <c r="Q55" s="83" t="s">
        <v>537</v>
      </c>
      <c r="R55" s="101"/>
      <c r="S55" s="83" t="s">
        <v>537</v>
      </c>
      <c r="T55" s="124"/>
      <c r="U55" s="125"/>
    </row>
    <row r="56" spans="1:21" ht="49.5" x14ac:dyDescent="0.3">
      <c r="A56" s="115" t="s">
        <v>250</v>
      </c>
      <c r="B56" s="116" t="s">
        <v>100</v>
      </c>
      <c r="C56" s="114" t="s">
        <v>197</v>
      </c>
      <c r="D56" s="116" t="s">
        <v>743</v>
      </c>
      <c r="E56" s="69" t="s">
        <v>764</v>
      </c>
      <c r="F56" s="81" t="s">
        <v>169</v>
      </c>
      <c r="G56" s="81" t="s">
        <v>131</v>
      </c>
      <c r="H56" s="81"/>
      <c r="I56" s="91"/>
      <c r="J56" s="91"/>
      <c r="K56" s="101"/>
      <c r="L56" s="101"/>
      <c r="M56" s="101"/>
      <c r="N56" s="101"/>
      <c r="O56" s="101"/>
      <c r="P56" s="101"/>
      <c r="Q56" s="83" t="s">
        <v>537</v>
      </c>
      <c r="R56" s="101"/>
      <c r="S56" s="83" t="s">
        <v>537</v>
      </c>
      <c r="T56" s="124"/>
      <c r="U56" s="125"/>
    </row>
    <row r="57" spans="1:21" ht="49.5" x14ac:dyDescent="0.3">
      <c r="A57" s="115" t="s">
        <v>251</v>
      </c>
      <c r="B57" s="116" t="s">
        <v>100</v>
      </c>
      <c r="C57" s="114" t="s">
        <v>197</v>
      </c>
      <c r="D57" s="116" t="s">
        <v>744</v>
      </c>
      <c r="E57" s="69" t="s">
        <v>764</v>
      </c>
      <c r="F57" s="81" t="s">
        <v>169</v>
      </c>
      <c r="G57" s="81" t="s">
        <v>131</v>
      </c>
      <c r="H57" s="81"/>
      <c r="I57" s="91"/>
      <c r="J57" s="91"/>
      <c r="K57" s="101" t="s">
        <v>537</v>
      </c>
      <c r="L57" s="101" t="s">
        <v>537</v>
      </c>
      <c r="M57" s="101" t="s">
        <v>537</v>
      </c>
      <c r="N57" s="101" t="s">
        <v>537</v>
      </c>
      <c r="O57" s="101" t="s">
        <v>537</v>
      </c>
      <c r="P57" s="101" t="s">
        <v>537</v>
      </c>
      <c r="Q57" s="83" t="s">
        <v>537</v>
      </c>
      <c r="R57" s="101"/>
      <c r="S57" s="83" t="s">
        <v>537</v>
      </c>
      <c r="T57" s="124"/>
      <c r="U57" s="125"/>
    </row>
    <row r="58" spans="1:21" ht="363" x14ac:dyDescent="0.3">
      <c r="A58" s="80" t="s">
        <v>252</v>
      </c>
      <c r="B58" s="70" t="s">
        <v>100</v>
      </c>
      <c r="C58" s="118" t="s">
        <v>124</v>
      </c>
      <c r="D58" s="104" t="s">
        <v>677</v>
      </c>
      <c r="E58" s="114" t="s">
        <v>765</v>
      </c>
      <c r="F58" s="81" t="s">
        <v>169</v>
      </c>
      <c r="G58" s="81" t="s">
        <v>116</v>
      </c>
      <c r="H58" s="81"/>
      <c r="I58" s="91"/>
      <c r="J58" s="91"/>
      <c r="K58" s="101"/>
      <c r="L58" s="101"/>
      <c r="M58" s="101"/>
      <c r="N58" s="101"/>
      <c r="O58" s="101"/>
      <c r="P58" s="101"/>
      <c r="Q58" s="83" t="s">
        <v>537</v>
      </c>
      <c r="R58" s="101"/>
      <c r="S58" s="83" t="s">
        <v>537</v>
      </c>
      <c r="T58" s="124"/>
      <c r="U58" s="125"/>
    </row>
    <row r="59" spans="1:21" ht="363" x14ac:dyDescent="0.3">
      <c r="A59" s="80" t="s">
        <v>253</v>
      </c>
      <c r="B59" s="70" t="s">
        <v>100</v>
      </c>
      <c r="C59" s="118" t="s">
        <v>124</v>
      </c>
      <c r="D59" s="104" t="s">
        <v>745</v>
      </c>
      <c r="E59" s="114" t="s">
        <v>765</v>
      </c>
      <c r="F59" s="81" t="s">
        <v>169</v>
      </c>
      <c r="G59" s="81" t="s">
        <v>240</v>
      </c>
      <c r="H59" s="81"/>
      <c r="I59" s="91"/>
      <c r="J59" s="91"/>
      <c r="K59" s="101" t="s">
        <v>537</v>
      </c>
      <c r="L59" s="101" t="s">
        <v>537</v>
      </c>
      <c r="M59" s="101" t="s">
        <v>537</v>
      </c>
      <c r="N59" s="101" t="s">
        <v>537</v>
      </c>
      <c r="O59" s="101" t="s">
        <v>537</v>
      </c>
      <c r="P59" s="101" t="s">
        <v>537</v>
      </c>
      <c r="Q59" s="83" t="s">
        <v>537</v>
      </c>
      <c r="R59" s="101"/>
      <c r="S59" s="83" t="s">
        <v>537</v>
      </c>
      <c r="T59" s="124"/>
      <c r="U59" s="125"/>
    </row>
    <row r="60" spans="1:21" ht="181.5" x14ac:dyDescent="0.3">
      <c r="A60" s="115" t="s">
        <v>254</v>
      </c>
      <c r="B60" s="106" t="s">
        <v>100</v>
      </c>
      <c r="C60" s="114" t="s">
        <v>200</v>
      </c>
      <c r="D60" s="116" t="s">
        <v>746</v>
      </c>
      <c r="E60" s="69" t="s">
        <v>766</v>
      </c>
      <c r="F60" s="81" t="s">
        <v>169</v>
      </c>
      <c r="G60" s="81" t="s">
        <v>116</v>
      </c>
      <c r="H60" s="81"/>
      <c r="I60" s="91"/>
      <c r="J60" s="91"/>
      <c r="K60" s="101"/>
      <c r="L60" s="101"/>
      <c r="M60" s="101"/>
      <c r="N60" s="101"/>
      <c r="O60" s="101"/>
      <c r="P60" s="101"/>
      <c r="Q60" s="83" t="s">
        <v>537</v>
      </c>
      <c r="R60" s="101"/>
      <c r="S60" s="83" t="s">
        <v>537</v>
      </c>
      <c r="T60" s="124"/>
      <c r="U60" s="125"/>
    </row>
    <row r="61" spans="1:21" ht="181.5" x14ac:dyDescent="0.3">
      <c r="A61" s="115" t="s">
        <v>255</v>
      </c>
      <c r="B61" s="106" t="s">
        <v>100</v>
      </c>
      <c r="C61" s="114" t="s">
        <v>200</v>
      </c>
      <c r="D61" s="116" t="s">
        <v>747</v>
      </c>
      <c r="E61" s="69" t="s">
        <v>766</v>
      </c>
      <c r="F61" s="81" t="s">
        <v>169</v>
      </c>
      <c r="G61" s="81" t="s">
        <v>240</v>
      </c>
      <c r="H61" s="81"/>
      <c r="I61" s="91"/>
      <c r="J61" s="91"/>
      <c r="K61" s="101" t="s">
        <v>537</v>
      </c>
      <c r="L61" s="101" t="s">
        <v>537</v>
      </c>
      <c r="M61" s="101" t="s">
        <v>537</v>
      </c>
      <c r="N61" s="101" t="s">
        <v>537</v>
      </c>
      <c r="O61" s="101" t="s">
        <v>537</v>
      </c>
      <c r="P61" s="101" t="s">
        <v>537</v>
      </c>
      <c r="Q61" s="83" t="s">
        <v>537</v>
      </c>
      <c r="R61" s="101"/>
      <c r="S61" s="83" t="s">
        <v>537</v>
      </c>
      <c r="T61" s="124"/>
      <c r="U61" s="125"/>
    </row>
    <row r="62" spans="1:21" ht="132" x14ac:dyDescent="0.3">
      <c r="A62" s="115" t="s">
        <v>256</v>
      </c>
      <c r="B62" s="116" t="s">
        <v>100</v>
      </c>
      <c r="C62" s="114" t="s">
        <v>203</v>
      </c>
      <c r="D62" s="116" t="s">
        <v>748</v>
      </c>
      <c r="E62" s="69" t="s">
        <v>767</v>
      </c>
      <c r="F62" s="81" t="s">
        <v>169</v>
      </c>
      <c r="G62" s="81" t="s">
        <v>131</v>
      </c>
      <c r="H62" s="81"/>
      <c r="I62" s="91"/>
      <c r="J62" s="91"/>
      <c r="K62" s="101"/>
      <c r="L62" s="101"/>
      <c r="M62" s="101"/>
      <c r="N62" s="101"/>
      <c r="O62" s="101"/>
      <c r="P62" s="101"/>
      <c r="Q62" s="83" t="s">
        <v>537</v>
      </c>
      <c r="R62" s="101"/>
      <c r="S62" s="83" t="s">
        <v>537</v>
      </c>
      <c r="T62" s="124"/>
      <c r="U62" s="125"/>
    </row>
    <row r="63" spans="1:21" ht="82.5" x14ac:dyDescent="0.3">
      <c r="A63" s="115" t="s">
        <v>257</v>
      </c>
      <c r="B63" s="116" t="s">
        <v>100</v>
      </c>
      <c r="C63" s="114" t="s">
        <v>203</v>
      </c>
      <c r="D63" s="116" t="s">
        <v>749</v>
      </c>
      <c r="E63" s="69" t="s">
        <v>767</v>
      </c>
      <c r="F63" s="81" t="s">
        <v>169</v>
      </c>
      <c r="G63" s="81" t="s">
        <v>240</v>
      </c>
      <c r="H63" s="81"/>
      <c r="I63" s="91"/>
      <c r="J63" s="91"/>
      <c r="K63" s="101" t="s">
        <v>537</v>
      </c>
      <c r="L63" s="101" t="s">
        <v>537</v>
      </c>
      <c r="M63" s="101" t="s">
        <v>537</v>
      </c>
      <c r="N63" s="101" t="s">
        <v>537</v>
      </c>
      <c r="O63" s="101" t="s">
        <v>537</v>
      </c>
      <c r="P63" s="101" t="s">
        <v>537</v>
      </c>
      <c r="Q63" s="83" t="s">
        <v>537</v>
      </c>
      <c r="R63" s="101"/>
      <c r="S63" s="83" t="s">
        <v>537</v>
      </c>
      <c r="T63" s="124"/>
      <c r="U63" s="125"/>
    </row>
    <row r="64" spans="1:21" ht="66" x14ac:dyDescent="0.3">
      <c r="A64" s="105" t="s">
        <v>258</v>
      </c>
      <c r="B64" s="106" t="s">
        <v>100</v>
      </c>
      <c r="C64" s="107" t="s">
        <v>206</v>
      </c>
      <c r="D64" s="107" t="s">
        <v>781</v>
      </c>
      <c r="E64" s="69" t="s">
        <v>708</v>
      </c>
      <c r="F64" s="108" t="s">
        <v>169</v>
      </c>
      <c r="G64" s="108" t="s">
        <v>116</v>
      </c>
      <c r="H64" s="108"/>
      <c r="I64" s="91"/>
      <c r="J64" s="91"/>
      <c r="K64" s="101"/>
      <c r="L64" s="101"/>
      <c r="M64" s="101"/>
      <c r="N64" s="101"/>
      <c r="O64" s="101"/>
      <c r="P64" s="101"/>
      <c r="Q64" s="83" t="s">
        <v>537</v>
      </c>
      <c r="R64" s="101"/>
      <c r="S64" s="83" t="s">
        <v>537</v>
      </c>
      <c r="T64" s="124"/>
      <c r="U64" s="125"/>
    </row>
    <row r="65" spans="1:21" ht="49.5" x14ac:dyDescent="0.3">
      <c r="A65" s="105" t="s">
        <v>259</v>
      </c>
      <c r="B65" s="106" t="s">
        <v>100</v>
      </c>
      <c r="C65" s="107" t="s">
        <v>206</v>
      </c>
      <c r="D65" s="107" t="s">
        <v>750</v>
      </c>
      <c r="E65" s="69" t="s">
        <v>708</v>
      </c>
      <c r="F65" s="108" t="s">
        <v>169</v>
      </c>
      <c r="G65" s="108" t="s">
        <v>240</v>
      </c>
      <c r="H65" s="108"/>
      <c r="I65" s="91"/>
      <c r="J65" s="91"/>
      <c r="K65" s="101" t="s">
        <v>537</v>
      </c>
      <c r="L65" s="101" t="s">
        <v>537</v>
      </c>
      <c r="M65" s="101" t="s">
        <v>537</v>
      </c>
      <c r="N65" s="101" t="s">
        <v>537</v>
      </c>
      <c r="O65" s="101" t="s">
        <v>537</v>
      </c>
      <c r="P65" s="101" t="s">
        <v>537</v>
      </c>
      <c r="Q65" s="83" t="s">
        <v>537</v>
      </c>
      <c r="R65" s="101"/>
      <c r="S65" s="83" t="s">
        <v>537</v>
      </c>
      <c r="T65" s="124"/>
      <c r="U65" s="125"/>
    </row>
    <row r="66" spans="1:21" ht="115.5" x14ac:dyDescent="0.3">
      <c r="A66" s="115" t="s">
        <v>260</v>
      </c>
      <c r="B66" s="116" t="s">
        <v>100</v>
      </c>
      <c r="C66" s="114" t="s">
        <v>208</v>
      </c>
      <c r="D66" s="116" t="s">
        <v>751</v>
      </c>
      <c r="E66" s="69" t="s">
        <v>768</v>
      </c>
      <c r="F66" s="81" t="s">
        <v>169</v>
      </c>
      <c r="G66" s="81" t="s">
        <v>131</v>
      </c>
      <c r="H66" s="81"/>
      <c r="I66" s="91"/>
      <c r="J66" s="91"/>
      <c r="K66" s="101"/>
      <c r="L66" s="101"/>
      <c r="M66" s="101"/>
      <c r="N66" s="101"/>
      <c r="O66" s="101"/>
      <c r="P66" s="101"/>
      <c r="Q66" s="83" t="s">
        <v>537</v>
      </c>
      <c r="R66" s="101"/>
      <c r="S66" s="83" t="s">
        <v>537</v>
      </c>
      <c r="T66" s="124"/>
      <c r="U66" s="125"/>
    </row>
    <row r="67" spans="1:21" ht="115.5" x14ac:dyDescent="0.3">
      <c r="A67" s="115" t="s">
        <v>261</v>
      </c>
      <c r="B67" s="116" t="s">
        <v>100</v>
      </c>
      <c r="C67" s="114" t="s">
        <v>208</v>
      </c>
      <c r="D67" s="116" t="s">
        <v>752</v>
      </c>
      <c r="E67" s="69" t="s">
        <v>768</v>
      </c>
      <c r="F67" s="81" t="s">
        <v>169</v>
      </c>
      <c r="G67" s="81" t="s">
        <v>240</v>
      </c>
      <c r="H67" s="81"/>
      <c r="I67" s="91"/>
      <c r="J67" s="91"/>
      <c r="K67" s="101" t="s">
        <v>537</v>
      </c>
      <c r="L67" s="101" t="s">
        <v>537</v>
      </c>
      <c r="M67" s="101" t="s">
        <v>537</v>
      </c>
      <c r="N67" s="101" t="s">
        <v>537</v>
      </c>
      <c r="O67" s="101" t="s">
        <v>537</v>
      </c>
      <c r="P67" s="101" t="s">
        <v>537</v>
      </c>
      <c r="Q67" s="83" t="s">
        <v>537</v>
      </c>
      <c r="R67" s="101"/>
      <c r="S67" s="83" t="s">
        <v>537</v>
      </c>
      <c r="T67" s="124"/>
      <c r="U67" s="125"/>
    </row>
    <row r="68" spans="1:21" ht="82.5" x14ac:dyDescent="0.3">
      <c r="A68" s="115" t="s">
        <v>262</v>
      </c>
      <c r="B68" s="116" t="s">
        <v>100</v>
      </c>
      <c r="C68" s="114" t="s">
        <v>126</v>
      </c>
      <c r="D68" s="116" t="s">
        <v>681</v>
      </c>
      <c r="E68" s="69" t="s">
        <v>769</v>
      </c>
      <c r="F68" s="81" t="s">
        <v>169</v>
      </c>
      <c r="G68" s="81" t="s">
        <v>150</v>
      </c>
      <c r="H68" s="81"/>
      <c r="I68" s="91"/>
      <c r="J68" s="91"/>
      <c r="K68" s="101"/>
      <c r="L68" s="101"/>
      <c r="M68" s="101"/>
      <c r="N68" s="101"/>
      <c r="O68" s="101"/>
      <c r="P68" s="101"/>
      <c r="Q68" s="83" t="s">
        <v>537</v>
      </c>
      <c r="R68" s="101"/>
      <c r="S68" s="83" t="s">
        <v>537</v>
      </c>
      <c r="T68" s="124"/>
      <c r="U68" s="125"/>
    </row>
    <row r="69" spans="1:21" ht="82.5" x14ac:dyDescent="0.3">
      <c r="A69" s="115" t="s">
        <v>263</v>
      </c>
      <c r="B69" s="116" t="s">
        <v>100</v>
      </c>
      <c r="C69" s="114" t="s">
        <v>126</v>
      </c>
      <c r="D69" s="116" t="s">
        <v>753</v>
      </c>
      <c r="E69" s="69" t="s">
        <v>769</v>
      </c>
      <c r="F69" s="81" t="s">
        <v>169</v>
      </c>
      <c r="G69" s="81" t="s">
        <v>240</v>
      </c>
      <c r="H69" s="81"/>
      <c r="I69" s="91"/>
      <c r="J69" s="91"/>
      <c r="K69" s="101" t="s">
        <v>537</v>
      </c>
      <c r="L69" s="101" t="s">
        <v>537</v>
      </c>
      <c r="M69" s="101" t="s">
        <v>537</v>
      </c>
      <c r="N69" s="101" t="s">
        <v>537</v>
      </c>
      <c r="O69" s="101" t="s">
        <v>537</v>
      </c>
      <c r="P69" s="101" t="s">
        <v>537</v>
      </c>
      <c r="Q69" s="83" t="s">
        <v>537</v>
      </c>
      <c r="R69" s="101"/>
      <c r="S69" s="83" t="s">
        <v>537</v>
      </c>
      <c r="T69" s="124"/>
      <c r="U69" s="125"/>
    </row>
    <row r="70" spans="1:21" ht="115.5" x14ac:dyDescent="0.3">
      <c r="A70" s="115" t="s">
        <v>264</v>
      </c>
      <c r="B70" s="116" t="s">
        <v>100</v>
      </c>
      <c r="C70" s="114" t="s">
        <v>211</v>
      </c>
      <c r="D70" s="116" t="s">
        <v>754</v>
      </c>
      <c r="E70" s="114" t="s">
        <v>770</v>
      </c>
      <c r="F70" s="81" t="s">
        <v>169</v>
      </c>
      <c r="G70" s="81" t="s">
        <v>116</v>
      </c>
      <c r="H70" s="81"/>
      <c r="I70" s="91"/>
      <c r="J70" s="91"/>
      <c r="K70" s="101"/>
      <c r="L70" s="101"/>
      <c r="M70" s="101"/>
      <c r="N70" s="101"/>
      <c r="O70" s="101"/>
      <c r="P70" s="101"/>
      <c r="Q70" s="83" t="s">
        <v>537</v>
      </c>
      <c r="R70" s="101"/>
      <c r="S70" s="83" t="s">
        <v>537</v>
      </c>
      <c r="T70" s="124"/>
      <c r="U70" s="125"/>
    </row>
    <row r="71" spans="1:21" ht="115.5" x14ac:dyDescent="0.3">
      <c r="A71" s="115" t="s">
        <v>265</v>
      </c>
      <c r="B71" s="116" t="s">
        <v>100</v>
      </c>
      <c r="C71" s="114" t="s">
        <v>211</v>
      </c>
      <c r="D71" s="116" t="s">
        <v>755</v>
      </c>
      <c r="E71" s="114" t="s">
        <v>770</v>
      </c>
      <c r="F71" s="81" t="s">
        <v>169</v>
      </c>
      <c r="G71" s="81" t="s">
        <v>240</v>
      </c>
      <c r="H71" s="81"/>
      <c r="I71" s="91"/>
      <c r="J71" s="91"/>
      <c r="K71" s="101" t="s">
        <v>537</v>
      </c>
      <c r="L71" s="101" t="s">
        <v>537</v>
      </c>
      <c r="M71" s="101" t="s">
        <v>537</v>
      </c>
      <c r="N71" s="101" t="s">
        <v>537</v>
      </c>
      <c r="O71" s="101" t="s">
        <v>537</v>
      </c>
      <c r="P71" s="101" t="s">
        <v>537</v>
      </c>
      <c r="Q71" s="83" t="s">
        <v>537</v>
      </c>
      <c r="R71" s="101"/>
      <c r="S71" s="83" t="s">
        <v>537</v>
      </c>
      <c r="T71" s="124"/>
      <c r="U71" s="125"/>
    </row>
    <row r="72" spans="1:21" ht="396" x14ac:dyDescent="0.3">
      <c r="A72" s="115" t="s">
        <v>266</v>
      </c>
      <c r="B72" s="106" t="s">
        <v>100</v>
      </c>
      <c r="C72" s="114" t="s">
        <v>214</v>
      </c>
      <c r="D72" s="116" t="s">
        <v>756</v>
      </c>
      <c r="E72" s="69" t="s">
        <v>772</v>
      </c>
      <c r="F72" s="81" t="s">
        <v>169</v>
      </c>
      <c r="G72" s="81" t="s">
        <v>116</v>
      </c>
      <c r="H72" s="81"/>
      <c r="I72" s="91"/>
      <c r="J72" s="91"/>
      <c r="K72" s="101"/>
      <c r="L72" s="101"/>
      <c r="M72" s="101"/>
      <c r="N72" s="101"/>
      <c r="O72" s="101"/>
      <c r="P72" s="101"/>
      <c r="Q72" s="83" t="s">
        <v>537</v>
      </c>
      <c r="R72" s="101"/>
      <c r="S72" s="83" t="s">
        <v>537</v>
      </c>
      <c r="T72" s="124"/>
      <c r="U72" s="125"/>
    </row>
    <row r="73" spans="1:21" ht="396" x14ac:dyDescent="0.3">
      <c r="A73" s="115" t="s">
        <v>267</v>
      </c>
      <c r="B73" s="106" t="s">
        <v>100</v>
      </c>
      <c r="C73" s="114" t="s">
        <v>214</v>
      </c>
      <c r="D73" s="116" t="s">
        <v>757</v>
      </c>
      <c r="E73" s="69" t="s">
        <v>772</v>
      </c>
      <c r="F73" s="81" t="s">
        <v>169</v>
      </c>
      <c r="G73" s="81" t="s">
        <v>240</v>
      </c>
      <c r="H73" s="81"/>
      <c r="I73" s="91"/>
      <c r="J73" s="91"/>
      <c r="K73" s="101" t="s">
        <v>537</v>
      </c>
      <c r="L73" s="101" t="s">
        <v>537</v>
      </c>
      <c r="M73" s="101" t="s">
        <v>537</v>
      </c>
      <c r="N73" s="101" t="s">
        <v>537</v>
      </c>
      <c r="O73" s="101" t="s">
        <v>537</v>
      </c>
      <c r="P73" s="101" t="s">
        <v>537</v>
      </c>
      <c r="Q73" s="83" t="s">
        <v>537</v>
      </c>
      <c r="R73" s="101"/>
      <c r="S73" s="83" t="s">
        <v>537</v>
      </c>
      <c r="T73" s="124"/>
      <c r="U73" s="125"/>
    </row>
    <row r="74" spans="1:21" ht="33" x14ac:dyDescent="0.3">
      <c r="A74" s="115" t="s">
        <v>563</v>
      </c>
      <c r="B74" s="119" t="s">
        <v>100</v>
      </c>
      <c r="C74" s="114" t="s">
        <v>555</v>
      </c>
      <c r="D74" s="116" t="s">
        <v>568</v>
      </c>
      <c r="E74" s="114" t="s">
        <v>547</v>
      </c>
      <c r="F74" s="84" t="s">
        <v>169</v>
      </c>
      <c r="G74" s="84" t="s">
        <v>116</v>
      </c>
      <c r="H74" s="84"/>
      <c r="I74" s="91"/>
      <c r="J74" s="91"/>
      <c r="K74" s="101"/>
      <c r="L74" s="101"/>
      <c r="M74" s="101"/>
      <c r="N74" s="101"/>
      <c r="O74" s="101"/>
      <c r="P74" s="101"/>
      <c r="Q74" s="83" t="s">
        <v>537</v>
      </c>
      <c r="R74" s="101"/>
      <c r="S74" s="83" t="s">
        <v>537</v>
      </c>
      <c r="T74" s="124"/>
      <c r="U74" s="125"/>
    </row>
    <row r="75" spans="1:21" ht="33" x14ac:dyDescent="0.3">
      <c r="A75" s="115" t="s">
        <v>564</v>
      </c>
      <c r="B75" s="119" t="s">
        <v>100</v>
      </c>
      <c r="C75" s="114" t="s">
        <v>555</v>
      </c>
      <c r="D75" s="116" t="s">
        <v>569</v>
      </c>
      <c r="E75" s="114" t="s">
        <v>547</v>
      </c>
      <c r="F75" s="84" t="s">
        <v>169</v>
      </c>
      <c r="G75" s="84" t="s">
        <v>116</v>
      </c>
      <c r="H75" s="84"/>
      <c r="I75" s="91"/>
      <c r="J75" s="91"/>
      <c r="K75" s="101" t="s">
        <v>537</v>
      </c>
      <c r="L75" s="101" t="s">
        <v>537</v>
      </c>
      <c r="M75" s="101" t="s">
        <v>537</v>
      </c>
      <c r="N75" s="101" t="s">
        <v>537</v>
      </c>
      <c r="O75" s="101" t="s">
        <v>537</v>
      </c>
      <c r="P75" s="101" t="s">
        <v>537</v>
      </c>
      <c r="Q75" s="83" t="s">
        <v>537</v>
      </c>
      <c r="R75" s="101"/>
      <c r="S75" s="83" t="s">
        <v>537</v>
      </c>
      <c r="T75" s="124"/>
      <c r="U75" s="125"/>
    </row>
    <row r="76" spans="1:21" ht="33" x14ac:dyDescent="0.3">
      <c r="A76" s="115" t="s">
        <v>560</v>
      </c>
      <c r="B76" s="70" t="s">
        <v>552</v>
      </c>
      <c r="C76" s="69" t="s">
        <v>546</v>
      </c>
      <c r="D76" s="116" t="s">
        <v>570</v>
      </c>
      <c r="E76" s="69" t="s">
        <v>546</v>
      </c>
      <c r="F76" s="81" t="s">
        <v>169</v>
      </c>
      <c r="G76" s="84" t="s">
        <v>116</v>
      </c>
      <c r="H76" s="84"/>
      <c r="I76" s="91"/>
      <c r="J76" s="91"/>
      <c r="K76" s="101"/>
      <c r="L76" s="101"/>
      <c r="M76" s="101"/>
      <c r="N76" s="101"/>
      <c r="O76" s="101"/>
      <c r="P76" s="101"/>
      <c r="Q76" s="83" t="s">
        <v>537</v>
      </c>
      <c r="R76" s="101"/>
      <c r="S76" s="83" t="s">
        <v>537</v>
      </c>
      <c r="T76" s="124"/>
      <c r="U76" s="125"/>
    </row>
    <row r="77" spans="1:21" ht="33" x14ac:dyDescent="0.3">
      <c r="A77" s="80" t="s">
        <v>561</v>
      </c>
      <c r="B77" s="70" t="s">
        <v>552</v>
      </c>
      <c r="C77" s="69" t="s">
        <v>546</v>
      </c>
      <c r="D77" s="116" t="s">
        <v>571</v>
      </c>
      <c r="E77" s="69" t="s">
        <v>546</v>
      </c>
      <c r="F77" s="81" t="s">
        <v>169</v>
      </c>
      <c r="G77" s="84" t="s">
        <v>116</v>
      </c>
      <c r="H77" s="84"/>
      <c r="I77" s="91"/>
      <c r="J77" s="91"/>
      <c r="K77" s="101" t="s">
        <v>537</v>
      </c>
      <c r="L77" s="101" t="s">
        <v>537</v>
      </c>
      <c r="M77" s="101" t="s">
        <v>537</v>
      </c>
      <c r="N77" s="101" t="s">
        <v>537</v>
      </c>
      <c r="O77" s="101" t="s">
        <v>537</v>
      </c>
      <c r="P77" s="101" t="s">
        <v>537</v>
      </c>
      <c r="Q77" s="83" t="s">
        <v>537</v>
      </c>
      <c r="R77" s="101"/>
      <c r="S77" s="83" t="s">
        <v>537</v>
      </c>
      <c r="T77" s="124"/>
      <c r="U77" s="125"/>
    </row>
    <row r="78" spans="1:21" ht="49.5" x14ac:dyDescent="0.3">
      <c r="A78" s="94" t="s">
        <v>608</v>
      </c>
      <c r="B78" s="75" t="s">
        <v>603</v>
      </c>
      <c r="C78" s="71" t="s">
        <v>605</v>
      </c>
      <c r="D78" s="95" t="s">
        <v>691</v>
      </c>
      <c r="E78" s="96"/>
      <c r="F78" s="74" t="s">
        <v>395</v>
      </c>
      <c r="G78" s="74"/>
      <c r="H78" s="74"/>
      <c r="I78" s="97"/>
      <c r="J78" s="97"/>
      <c r="K78" s="126"/>
      <c r="L78" s="126"/>
      <c r="M78" s="126"/>
      <c r="N78" s="126"/>
      <c r="O78" s="126"/>
      <c r="P78" s="126"/>
      <c r="Q78" s="126"/>
      <c r="R78" s="126"/>
      <c r="S78" s="126"/>
      <c r="T78" s="127"/>
      <c r="U78" s="128"/>
    </row>
  </sheetData>
  <mergeCells count="3">
    <mergeCell ref="A1:I1"/>
    <mergeCell ref="J1:U2"/>
    <mergeCell ref="A2:E2"/>
  </mergeCells>
  <hyperlinks>
    <hyperlink ref="F7" r:id="rId1" display="https://ngw-stage.lighthouselabs.eu/de1/modelle/golf.html" xr:uid="{A66AF102-ADBA-4F60-990D-349A938D3ED7}"/>
    <hyperlink ref="I7" r:id="rId2" xr:uid="{3D61533C-3E3E-4D7A-A70B-DB7795C5D77F}"/>
  </hyperlinks>
  <pageMargins left="0.7" right="0.7" top="0.78740157499999996" bottom="0.78740157499999996" header="0.3" footer="0.3"/>
  <pageSetup paperSize="9" orientation="portrait"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tabColor theme="9" tint="0.79998168889431442"/>
  </sheetPr>
  <dimension ref="A1:U64"/>
  <sheetViews>
    <sheetView showGridLines="0" topLeftCell="A31" zoomScaleNormal="100" workbookViewId="0">
      <selection activeCell="K7" sqref="K7"/>
    </sheetView>
  </sheetViews>
  <sheetFormatPr defaultColWidth="8.7109375" defaultRowHeight="16.5" x14ac:dyDescent="0.25"/>
  <cols>
    <col min="1" max="1" width="16.7109375" style="160" customWidth="1"/>
    <col min="2" max="2" width="25.28515625" style="160" customWidth="1"/>
    <col min="3" max="3" width="31" style="147" customWidth="1"/>
    <col min="4" max="4" width="106" style="197" customWidth="1"/>
    <col min="5" max="5" width="49.5703125" style="160" customWidth="1"/>
    <col min="6" max="6" width="6.7109375" style="147" customWidth="1"/>
    <col min="7" max="7" width="14.5703125" style="198" customWidth="1"/>
    <col min="8" max="8" width="12.85546875" style="147" customWidth="1"/>
    <col min="9" max="9" width="18.5703125" style="147" customWidth="1"/>
    <col min="10" max="10" width="9.28515625" style="147" hidden="1" customWidth="1"/>
    <col min="11" max="11" width="30" style="147" bestFit="1" customWidth="1"/>
    <col min="12" max="12" width="23.85546875" style="147" bestFit="1" customWidth="1"/>
    <col min="13" max="13" width="24.85546875" style="147" bestFit="1" customWidth="1"/>
    <col min="14" max="14" width="15" style="147" bestFit="1" customWidth="1"/>
    <col min="15" max="16" width="15.42578125" style="147" bestFit="1" customWidth="1"/>
    <col min="17" max="17" width="27.42578125" style="147" bestFit="1" customWidth="1"/>
    <col min="18" max="18" width="31.42578125" style="147" bestFit="1" customWidth="1"/>
    <col min="19" max="19" width="18" style="147" customWidth="1"/>
    <col min="20" max="20" width="20.42578125" style="147" customWidth="1"/>
    <col min="21" max="21" width="24.42578125" style="147" customWidth="1"/>
    <col min="22" max="16384" width="8.7109375" style="147"/>
  </cols>
  <sheetData>
    <row r="1" spans="1:21" ht="60.75" customHeight="1" x14ac:dyDescent="0.25">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36" customHeight="1" x14ac:dyDescent="0.25">
      <c r="A2" s="248" t="str">
        <f>Homepage!A2</f>
        <v>Environment: https://ngw-stage.lighthouselabs.io/de/mofa.html</v>
      </c>
      <c r="B2" s="249"/>
      <c r="C2" s="249"/>
      <c r="D2" s="249"/>
      <c r="E2" s="249"/>
      <c r="F2" s="136"/>
      <c r="G2" s="138"/>
      <c r="H2" s="136"/>
      <c r="I2" s="139"/>
      <c r="J2" s="252"/>
      <c r="K2" s="252"/>
      <c r="L2" s="252"/>
      <c r="M2" s="252"/>
      <c r="N2" s="252"/>
      <c r="O2" s="252"/>
      <c r="P2" s="252"/>
      <c r="Q2" s="252"/>
      <c r="R2" s="252"/>
      <c r="S2" s="252"/>
      <c r="T2" s="252"/>
      <c r="U2" s="253"/>
    </row>
    <row r="3" spans="1:21" ht="45" customHeight="1" x14ac:dyDescent="0.25">
      <c r="A3" s="140" t="s">
        <v>105</v>
      </c>
      <c r="B3" s="135" t="s">
        <v>106</v>
      </c>
      <c r="C3" s="135" t="s">
        <v>107</v>
      </c>
      <c r="D3" s="135" t="s">
        <v>625</v>
      </c>
      <c r="E3" s="135" t="s">
        <v>626</v>
      </c>
      <c r="F3" s="135" t="s">
        <v>108</v>
      </c>
      <c r="G3" s="135" t="s">
        <v>109</v>
      </c>
      <c r="H3" s="67" t="s">
        <v>468</v>
      </c>
      <c r="I3" s="67" t="s">
        <v>627</v>
      </c>
      <c r="J3" s="67" t="s">
        <v>628</v>
      </c>
      <c r="K3" s="132" t="s">
        <v>692</v>
      </c>
      <c r="L3" s="132" t="s">
        <v>693</v>
      </c>
      <c r="M3" s="132" t="s">
        <v>699</v>
      </c>
      <c r="N3" s="132" t="s">
        <v>696</v>
      </c>
      <c r="O3" s="132" t="s">
        <v>694</v>
      </c>
      <c r="P3" s="132" t="s">
        <v>695</v>
      </c>
      <c r="Q3" s="132" t="s">
        <v>697</v>
      </c>
      <c r="R3" s="132" t="s">
        <v>698</v>
      </c>
      <c r="S3" s="132" t="s">
        <v>629</v>
      </c>
      <c r="T3" s="133" t="s">
        <v>110</v>
      </c>
      <c r="U3" s="141" t="s">
        <v>111</v>
      </c>
    </row>
    <row r="4" spans="1:21" s="162" customFormat="1" ht="82.5" x14ac:dyDescent="0.25">
      <c r="A4" s="80" t="s">
        <v>328</v>
      </c>
      <c r="B4" s="153" t="s">
        <v>97</v>
      </c>
      <c r="C4" s="173" t="s">
        <v>329</v>
      </c>
      <c r="D4" s="70" t="s">
        <v>832</v>
      </c>
      <c r="E4" s="69" t="s">
        <v>833</v>
      </c>
      <c r="F4" s="188" t="s">
        <v>169</v>
      </c>
      <c r="G4" s="81" t="s">
        <v>116</v>
      </c>
      <c r="H4" s="188"/>
      <c r="I4" s="188"/>
      <c r="J4" s="188"/>
      <c r="K4" s="188"/>
      <c r="L4" s="188"/>
      <c r="M4" s="188"/>
      <c r="N4" s="188"/>
      <c r="O4" s="188"/>
      <c r="P4" s="188"/>
      <c r="Q4" s="188" t="s">
        <v>537</v>
      </c>
      <c r="R4" s="188"/>
      <c r="S4" s="188" t="s">
        <v>537</v>
      </c>
      <c r="T4" s="153"/>
      <c r="U4" s="154"/>
    </row>
    <row r="5" spans="1:21" s="162" customFormat="1" ht="66" x14ac:dyDescent="0.25">
      <c r="A5" s="80" t="s">
        <v>330</v>
      </c>
      <c r="B5" s="153" t="s">
        <v>97</v>
      </c>
      <c r="C5" s="173" t="s">
        <v>197</v>
      </c>
      <c r="D5" s="70" t="s">
        <v>834</v>
      </c>
      <c r="E5" s="69" t="s">
        <v>764</v>
      </c>
      <c r="F5" s="188" t="s">
        <v>169</v>
      </c>
      <c r="G5" s="81" t="s">
        <v>116</v>
      </c>
      <c r="H5" s="188"/>
      <c r="I5" s="188"/>
      <c r="J5" s="188"/>
      <c r="K5" s="188"/>
      <c r="L5" s="188"/>
      <c r="M5" s="188"/>
      <c r="N5" s="188"/>
      <c r="O5" s="188"/>
      <c r="P5" s="188"/>
      <c r="Q5" s="188" t="s">
        <v>537</v>
      </c>
      <c r="R5" s="188"/>
      <c r="S5" s="188" t="s">
        <v>537</v>
      </c>
      <c r="T5" s="153"/>
      <c r="U5" s="154"/>
    </row>
    <row r="6" spans="1:21" s="162" customFormat="1" ht="115.5" x14ac:dyDescent="0.25">
      <c r="A6" s="80" t="s">
        <v>331</v>
      </c>
      <c r="B6" s="153" t="s">
        <v>97</v>
      </c>
      <c r="C6" s="173" t="s">
        <v>133</v>
      </c>
      <c r="D6" s="70" t="s">
        <v>835</v>
      </c>
      <c r="E6" s="69" t="s">
        <v>836</v>
      </c>
      <c r="F6" s="188" t="s">
        <v>169</v>
      </c>
      <c r="G6" s="81" t="s">
        <v>116</v>
      </c>
      <c r="H6" s="188"/>
      <c r="I6" s="188"/>
      <c r="J6" s="188"/>
      <c r="K6" s="188"/>
      <c r="L6" s="188"/>
      <c r="M6" s="188"/>
      <c r="N6" s="188"/>
      <c r="O6" s="188"/>
      <c r="P6" s="188"/>
      <c r="Q6" s="188" t="s">
        <v>537</v>
      </c>
      <c r="R6" s="188"/>
      <c r="S6" s="188" t="s">
        <v>537</v>
      </c>
      <c r="T6" s="153"/>
      <c r="U6" s="154"/>
    </row>
    <row r="7" spans="1:21" s="162" customFormat="1" ht="99" x14ac:dyDescent="0.25">
      <c r="A7" s="80" t="s">
        <v>332</v>
      </c>
      <c r="B7" s="153" t="s">
        <v>97</v>
      </c>
      <c r="C7" s="173" t="s">
        <v>200</v>
      </c>
      <c r="D7" s="70" t="s">
        <v>837</v>
      </c>
      <c r="E7" s="69" t="s">
        <v>838</v>
      </c>
      <c r="F7" s="188" t="s">
        <v>169</v>
      </c>
      <c r="G7" s="81" t="s">
        <v>116</v>
      </c>
      <c r="H7" s="188"/>
      <c r="I7" s="188"/>
      <c r="J7" s="188"/>
      <c r="K7" s="188"/>
      <c r="L7" s="188"/>
      <c r="M7" s="188"/>
      <c r="N7" s="188"/>
      <c r="O7" s="188"/>
      <c r="P7" s="188"/>
      <c r="Q7" s="188" t="s">
        <v>537</v>
      </c>
      <c r="R7" s="188"/>
      <c r="S7" s="188" t="s">
        <v>537</v>
      </c>
      <c r="T7" s="153"/>
      <c r="U7" s="154"/>
    </row>
    <row r="8" spans="1:21" s="162" customFormat="1" ht="66" x14ac:dyDescent="0.25">
      <c r="A8" s="80" t="s">
        <v>333</v>
      </c>
      <c r="B8" s="153" t="s">
        <v>97</v>
      </c>
      <c r="C8" s="173" t="s">
        <v>334</v>
      </c>
      <c r="D8" s="70" t="s">
        <v>839</v>
      </c>
      <c r="E8" s="69" t="s">
        <v>840</v>
      </c>
      <c r="F8" s="188" t="s">
        <v>169</v>
      </c>
      <c r="G8" s="81" t="s">
        <v>116</v>
      </c>
      <c r="H8" s="188"/>
      <c r="I8" s="188"/>
      <c r="J8" s="188"/>
      <c r="K8" s="188"/>
      <c r="L8" s="188"/>
      <c r="M8" s="188"/>
      <c r="N8" s="188"/>
      <c r="O8" s="188"/>
      <c r="P8" s="188"/>
      <c r="Q8" s="188" t="s">
        <v>537</v>
      </c>
      <c r="R8" s="188"/>
      <c r="S8" s="188" t="s">
        <v>537</v>
      </c>
      <c r="T8" s="153"/>
      <c r="U8" s="154"/>
    </row>
    <row r="9" spans="1:21" s="162" customFormat="1" ht="82.5" x14ac:dyDescent="0.25">
      <c r="A9" s="80" t="s">
        <v>335</v>
      </c>
      <c r="B9" s="153" t="s">
        <v>97</v>
      </c>
      <c r="C9" s="173" t="s">
        <v>208</v>
      </c>
      <c r="D9" s="70" t="s">
        <v>841</v>
      </c>
      <c r="E9" s="69" t="s">
        <v>842</v>
      </c>
      <c r="F9" s="188" t="s">
        <v>169</v>
      </c>
      <c r="G9" s="81" t="s">
        <v>116</v>
      </c>
      <c r="H9" s="188"/>
      <c r="I9" s="188"/>
      <c r="J9" s="188"/>
      <c r="K9" s="188"/>
      <c r="L9" s="188"/>
      <c r="M9" s="188"/>
      <c r="N9" s="188"/>
      <c r="O9" s="188"/>
      <c r="P9" s="188"/>
      <c r="Q9" s="188" t="s">
        <v>537</v>
      </c>
      <c r="R9" s="188"/>
      <c r="S9" s="188" t="s">
        <v>537</v>
      </c>
      <c r="T9" s="153"/>
      <c r="U9" s="154"/>
    </row>
    <row r="10" spans="1:21" s="162" customFormat="1" ht="66" x14ac:dyDescent="0.25">
      <c r="A10" s="80" t="s">
        <v>336</v>
      </c>
      <c r="B10" s="153" t="s">
        <v>97</v>
      </c>
      <c r="C10" s="173" t="s">
        <v>337</v>
      </c>
      <c r="D10" s="70" t="s">
        <v>843</v>
      </c>
      <c r="E10" s="173" t="s">
        <v>844</v>
      </c>
      <c r="F10" s="81" t="s">
        <v>169</v>
      </c>
      <c r="G10" s="81" t="s">
        <v>116</v>
      </c>
      <c r="H10" s="188"/>
      <c r="I10" s="188"/>
      <c r="J10" s="188"/>
      <c r="K10" s="188"/>
      <c r="L10" s="188"/>
      <c r="M10" s="188"/>
      <c r="N10" s="188"/>
      <c r="O10" s="188"/>
      <c r="P10" s="188"/>
      <c r="Q10" s="188" t="s">
        <v>537</v>
      </c>
      <c r="R10" s="188"/>
      <c r="S10" s="188" t="s">
        <v>537</v>
      </c>
      <c r="T10" s="153"/>
      <c r="U10" s="154"/>
    </row>
    <row r="11" spans="1:21" s="162" customFormat="1" ht="82.5" x14ac:dyDescent="0.25">
      <c r="A11" s="80" t="s">
        <v>338</v>
      </c>
      <c r="B11" s="153" t="s">
        <v>97</v>
      </c>
      <c r="C11" s="173" t="s">
        <v>136</v>
      </c>
      <c r="D11" s="70" t="s">
        <v>845</v>
      </c>
      <c r="E11" s="69" t="s">
        <v>763</v>
      </c>
      <c r="F11" s="188" t="s">
        <v>169</v>
      </c>
      <c r="G11" s="81" t="s">
        <v>116</v>
      </c>
      <c r="H11" s="188"/>
      <c r="I11" s="188"/>
      <c r="J11" s="188"/>
      <c r="K11" s="188"/>
      <c r="L11" s="188"/>
      <c r="M11" s="188"/>
      <c r="N11" s="188"/>
      <c r="O11" s="188"/>
      <c r="P11" s="188"/>
      <c r="Q11" s="188" t="s">
        <v>537</v>
      </c>
      <c r="R11" s="188"/>
      <c r="S11" s="188" t="s">
        <v>537</v>
      </c>
      <c r="T11" s="153"/>
      <c r="U11" s="154"/>
    </row>
    <row r="12" spans="1:21" s="162" customFormat="1" ht="132" x14ac:dyDescent="0.25">
      <c r="A12" s="80" t="s">
        <v>339</v>
      </c>
      <c r="B12" s="153" t="s">
        <v>97</v>
      </c>
      <c r="C12" s="173" t="s">
        <v>124</v>
      </c>
      <c r="D12" s="70" t="s">
        <v>846</v>
      </c>
      <c r="E12" s="69" t="s">
        <v>847</v>
      </c>
      <c r="F12" s="188" t="s">
        <v>169</v>
      </c>
      <c r="G12" s="81" t="s">
        <v>116</v>
      </c>
      <c r="H12" s="188"/>
      <c r="I12" s="188"/>
      <c r="J12" s="188"/>
      <c r="K12" s="188"/>
      <c r="L12" s="188"/>
      <c r="M12" s="188"/>
      <c r="N12" s="188"/>
      <c r="O12" s="188"/>
      <c r="P12" s="188"/>
      <c r="Q12" s="188" t="s">
        <v>537</v>
      </c>
      <c r="R12" s="188"/>
      <c r="S12" s="188" t="s">
        <v>537</v>
      </c>
      <c r="T12" s="153"/>
      <c r="U12" s="154"/>
    </row>
    <row r="13" spans="1:21" s="162" customFormat="1" ht="66" x14ac:dyDescent="0.25">
      <c r="A13" s="80" t="s">
        <v>340</v>
      </c>
      <c r="B13" s="153" t="s">
        <v>97</v>
      </c>
      <c r="C13" s="173" t="s">
        <v>278</v>
      </c>
      <c r="D13" s="70" t="s">
        <v>848</v>
      </c>
      <c r="E13" s="173" t="s">
        <v>849</v>
      </c>
      <c r="F13" s="188" t="s">
        <v>169</v>
      </c>
      <c r="G13" s="81" t="s">
        <v>116</v>
      </c>
      <c r="H13" s="188"/>
      <c r="I13" s="188"/>
      <c r="J13" s="188"/>
      <c r="K13" s="188"/>
      <c r="L13" s="188"/>
      <c r="M13" s="188"/>
      <c r="N13" s="188"/>
      <c r="O13" s="188"/>
      <c r="P13" s="188"/>
      <c r="Q13" s="188" t="s">
        <v>537</v>
      </c>
      <c r="R13" s="188"/>
      <c r="S13" s="188" t="s">
        <v>537</v>
      </c>
      <c r="T13" s="153"/>
      <c r="U13" s="154"/>
    </row>
    <row r="14" spans="1:21" s="162" customFormat="1" ht="330" x14ac:dyDescent="0.25">
      <c r="A14" s="189" t="s">
        <v>341</v>
      </c>
      <c r="B14" s="153" t="s">
        <v>97</v>
      </c>
      <c r="C14" s="173" t="s">
        <v>342</v>
      </c>
      <c r="D14" s="70" t="s">
        <v>850</v>
      </c>
      <c r="E14" s="173" t="s">
        <v>851</v>
      </c>
      <c r="F14" s="188" t="s">
        <v>169</v>
      </c>
      <c r="G14" s="81" t="s">
        <v>116</v>
      </c>
      <c r="H14" s="188"/>
      <c r="I14" s="188"/>
      <c r="J14" s="188"/>
      <c r="K14" s="188"/>
      <c r="L14" s="188"/>
      <c r="M14" s="188"/>
      <c r="N14" s="188"/>
      <c r="O14" s="188"/>
      <c r="P14" s="188"/>
      <c r="Q14" s="188" t="s">
        <v>537</v>
      </c>
      <c r="R14" s="188"/>
      <c r="S14" s="188" t="s">
        <v>537</v>
      </c>
      <c r="T14" s="153"/>
      <c r="U14" s="154"/>
    </row>
    <row r="15" spans="1:21" s="162" customFormat="1" ht="66" x14ac:dyDescent="0.25">
      <c r="A15" s="80" t="s">
        <v>345</v>
      </c>
      <c r="B15" s="153" t="s">
        <v>97</v>
      </c>
      <c r="C15" s="173" t="s">
        <v>138</v>
      </c>
      <c r="D15" s="70" t="s">
        <v>852</v>
      </c>
      <c r="E15" s="69" t="s">
        <v>853</v>
      </c>
      <c r="F15" s="188" t="s">
        <v>169</v>
      </c>
      <c r="G15" s="81" t="s">
        <v>116</v>
      </c>
      <c r="H15" s="188"/>
      <c r="I15" s="188"/>
      <c r="J15" s="188"/>
      <c r="K15" s="188"/>
      <c r="L15" s="188"/>
      <c r="M15" s="188"/>
      <c r="N15" s="188"/>
      <c r="O15" s="188"/>
      <c r="P15" s="188"/>
      <c r="Q15" s="188" t="s">
        <v>537</v>
      </c>
      <c r="R15" s="188"/>
      <c r="S15" s="188" t="s">
        <v>537</v>
      </c>
      <c r="T15" s="153"/>
      <c r="U15" s="154"/>
    </row>
    <row r="16" spans="1:21" s="162" customFormat="1" ht="82.5" x14ac:dyDescent="0.25">
      <c r="A16" s="190" t="s">
        <v>346</v>
      </c>
      <c r="B16" s="70" t="s">
        <v>97</v>
      </c>
      <c r="C16" s="69" t="s">
        <v>329</v>
      </c>
      <c r="D16" s="70" t="s">
        <v>854</v>
      </c>
      <c r="E16" s="69" t="s">
        <v>833</v>
      </c>
      <c r="F16" s="81" t="s">
        <v>169</v>
      </c>
      <c r="G16" s="81" t="s">
        <v>116</v>
      </c>
      <c r="H16" s="188"/>
      <c r="I16" s="188"/>
      <c r="J16" s="188"/>
      <c r="K16" s="188"/>
      <c r="L16" s="188"/>
      <c r="M16" s="188"/>
      <c r="N16" s="188"/>
      <c r="O16" s="188"/>
      <c r="P16" s="188"/>
      <c r="Q16" s="188" t="s">
        <v>537</v>
      </c>
      <c r="R16" s="188"/>
      <c r="S16" s="188" t="s">
        <v>537</v>
      </c>
      <c r="T16" s="153"/>
      <c r="U16" s="154"/>
    </row>
    <row r="17" spans="1:21" s="162" customFormat="1" ht="82.5" x14ac:dyDescent="0.25">
      <c r="A17" s="190" t="s">
        <v>347</v>
      </c>
      <c r="B17" s="70" t="s">
        <v>97</v>
      </c>
      <c r="C17" s="69" t="s">
        <v>329</v>
      </c>
      <c r="D17" s="70" t="s">
        <v>855</v>
      </c>
      <c r="E17" s="69" t="s">
        <v>833</v>
      </c>
      <c r="F17" s="81" t="s">
        <v>169</v>
      </c>
      <c r="G17" s="81" t="s">
        <v>116</v>
      </c>
      <c r="H17" s="188"/>
      <c r="I17" s="188"/>
      <c r="J17" s="188" t="s">
        <v>537</v>
      </c>
      <c r="K17" s="188" t="s">
        <v>537</v>
      </c>
      <c r="L17" s="188" t="s">
        <v>537</v>
      </c>
      <c r="M17" s="188" t="s">
        <v>537</v>
      </c>
      <c r="N17" s="188" t="s">
        <v>537</v>
      </c>
      <c r="O17" s="188" t="s">
        <v>537</v>
      </c>
      <c r="P17" s="188" t="s">
        <v>537</v>
      </c>
      <c r="Q17" s="191" t="s">
        <v>537</v>
      </c>
      <c r="R17" s="191" t="s">
        <v>537</v>
      </c>
      <c r="S17" s="188" t="s">
        <v>537</v>
      </c>
      <c r="T17" s="153"/>
      <c r="U17" s="154"/>
    </row>
    <row r="18" spans="1:21" s="162" customFormat="1" ht="49.5" x14ac:dyDescent="0.25">
      <c r="A18" s="190" t="s">
        <v>348</v>
      </c>
      <c r="B18" s="70" t="s">
        <v>97</v>
      </c>
      <c r="C18" s="69" t="s">
        <v>197</v>
      </c>
      <c r="D18" s="70" t="s">
        <v>718</v>
      </c>
      <c r="E18" s="69" t="s">
        <v>764</v>
      </c>
      <c r="F18" s="81" t="s">
        <v>169</v>
      </c>
      <c r="G18" s="81" t="s">
        <v>116</v>
      </c>
      <c r="H18" s="188"/>
      <c r="I18" s="188"/>
      <c r="J18" s="188"/>
      <c r="K18" s="188"/>
      <c r="L18" s="188"/>
      <c r="M18" s="188"/>
      <c r="N18" s="188"/>
      <c r="O18" s="188"/>
      <c r="P18" s="188"/>
      <c r="Q18" s="191" t="s">
        <v>537</v>
      </c>
      <c r="R18" s="191"/>
      <c r="S18" s="188" t="s">
        <v>537</v>
      </c>
      <c r="T18" s="153"/>
      <c r="U18" s="154"/>
    </row>
    <row r="19" spans="1:21" s="162" customFormat="1" ht="49.5" x14ac:dyDescent="0.25">
      <c r="A19" s="190" t="s">
        <v>349</v>
      </c>
      <c r="B19" s="70" t="s">
        <v>97</v>
      </c>
      <c r="C19" s="69" t="s">
        <v>197</v>
      </c>
      <c r="D19" s="70" t="s">
        <v>856</v>
      </c>
      <c r="E19" s="69" t="s">
        <v>764</v>
      </c>
      <c r="F19" s="81" t="s">
        <v>169</v>
      </c>
      <c r="G19" s="81" t="s">
        <v>116</v>
      </c>
      <c r="H19" s="188"/>
      <c r="I19" s="188"/>
      <c r="J19" s="188" t="s">
        <v>537</v>
      </c>
      <c r="K19" s="188" t="s">
        <v>537</v>
      </c>
      <c r="L19" s="188" t="s">
        <v>537</v>
      </c>
      <c r="M19" s="188" t="s">
        <v>537</v>
      </c>
      <c r="N19" s="188" t="s">
        <v>537</v>
      </c>
      <c r="O19" s="188" t="s">
        <v>537</v>
      </c>
      <c r="P19" s="188" t="s">
        <v>537</v>
      </c>
      <c r="Q19" s="191" t="s">
        <v>537</v>
      </c>
      <c r="R19" s="191"/>
      <c r="S19" s="188" t="s">
        <v>537</v>
      </c>
      <c r="T19" s="153"/>
      <c r="U19" s="154"/>
    </row>
    <row r="20" spans="1:21" s="162" customFormat="1" ht="115.5" x14ac:dyDescent="0.25">
      <c r="A20" s="190" t="s">
        <v>350</v>
      </c>
      <c r="B20" s="70" t="s">
        <v>97</v>
      </c>
      <c r="C20" s="69" t="s">
        <v>133</v>
      </c>
      <c r="D20" s="70" t="s">
        <v>857</v>
      </c>
      <c r="E20" s="69" t="s">
        <v>836</v>
      </c>
      <c r="F20" s="81" t="s">
        <v>169</v>
      </c>
      <c r="G20" s="81" t="s">
        <v>116</v>
      </c>
      <c r="H20" s="188"/>
      <c r="I20" s="188"/>
      <c r="J20" s="188"/>
      <c r="K20" s="188"/>
      <c r="L20" s="188"/>
      <c r="M20" s="188"/>
      <c r="N20" s="188"/>
      <c r="O20" s="188"/>
      <c r="P20" s="188"/>
      <c r="Q20" s="191" t="s">
        <v>537</v>
      </c>
      <c r="R20" s="191"/>
      <c r="S20" s="188" t="s">
        <v>537</v>
      </c>
      <c r="T20" s="153"/>
      <c r="U20" s="154"/>
    </row>
    <row r="21" spans="1:21" s="162" customFormat="1" ht="115.5" x14ac:dyDescent="0.25">
      <c r="A21" s="190" t="s">
        <v>351</v>
      </c>
      <c r="B21" s="70" t="s">
        <v>97</v>
      </c>
      <c r="C21" s="69" t="s">
        <v>133</v>
      </c>
      <c r="D21" s="70" t="s">
        <v>858</v>
      </c>
      <c r="E21" s="69" t="s">
        <v>836</v>
      </c>
      <c r="F21" s="81" t="s">
        <v>169</v>
      </c>
      <c r="G21" s="81" t="s">
        <v>116</v>
      </c>
      <c r="H21" s="188"/>
      <c r="I21" s="188"/>
      <c r="J21" s="188" t="s">
        <v>537</v>
      </c>
      <c r="K21" s="188" t="s">
        <v>537</v>
      </c>
      <c r="L21" s="188" t="s">
        <v>537</v>
      </c>
      <c r="M21" s="188" t="s">
        <v>537</v>
      </c>
      <c r="N21" s="188" t="s">
        <v>537</v>
      </c>
      <c r="O21" s="188" t="s">
        <v>537</v>
      </c>
      <c r="P21" s="188" t="s">
        <v>537</v>
      </c>
      <c r="Q21" s="191" t="s">
        <v>537</v>
      </c>
      <c r="R21" s="191"/>
      <c r="S21" s="188" t="s">
        <v>537</v>
      </c>
      <c r="T21" s="153"/>
      <c r="U21" s="154"/>
    </row>
    <row r="22" spans="1:21" s="162" customFormat="1" ht="99" x14ac:dyDescent="0.25">
      <c r="A22" s="190" t="s">
        <v>352</v>
      </c>
      <c r="B22" s="70" t="s">
        <v>97</v>
      </c>
      <c r="C22" s="69" t="s">
        <v>200</v>
      </c>
      <c r="D22" s="70" t="s">
        <v>722</v>
      </c>
      <c r="E22" s="69" t="s">
        <v>838</v>
      </c>
      <c r="F22" s="81" t="s">
        <v>169</v>
      </c>
      <c r="G22" s="81" t="s">
        <v>116</v>
      </c>
      <c r="H22" s="188"/>
      <c r="I22" s="188"/>
      <c r="J22" s="188"/>
      <c r="K22" s="188"/>
      <c r="L22" s="188"/>
      <c r="M22" s="188"/>
      <c r="N22" s="188"/>
      <c r="O22" s="188"/>
      <c r="P22" s="188"/>
      <c r="Q22" s="191" t="s">
        <v>537</v>
      </c>
      <c r="R22" s="191"/>
      <c r="S22" s="188" t="s">
        <v>537</v>
      </c>
      <c r="T22" s="153"/>
      <c r="U22" s="154"/>
    </row>
    <row r="23" spans="1:21" s="162" customFormat="1" ht="99" x14ac:dyDescent="0.25">
      <c r="A23" s="190" t="s">
        <v>353</v>
      </c>
      <c r="B23" s="70" t="s">
        <v>97</v>
      </c>
      <c r="C23" s="69" t="s">
        <v>200</v>
      </c>
      <c r="D23" s="70" t="s">
        <v>859</v>
      </c>
      <c r="E23" s="69" t="s">
        <v>838</v>
      </c>
      <c r="F23" s="81" t="s">
        <v>169</v>
      </c>
      <c r="G23" s="81" t="s">
        <v>116</v>
      </c>
      <c r="H23" s="188"/>
      <c r="I23" s="188"/>
      <c r="J23" s="188" t="s">
        <v>537</v>
      </c>
      <c r="K23" s="188" t="s">
        <v>537</v>
      </c>
      <c r="L23" s="188" t="s">
        <v>537</v>
      </c>
      <c r="M23" s="188" t="s">
        <v>537</v>
      </c>
      <c r="N23" s="188" t="s">
        <v>537</v>
      </c>
      <c r="O23" s="188" t="s">
        <v>537</v>
      </c>
      <c r="P23" s="188" t="s">
        <v>537</v>
      </c>
      <c r="Q23" s="191" t="s">
        <v>537</v>
      </c>
      <c r="R23" s="191"/>
      <c r="S23" s="188" t="s">
        <v>537</v>
      </c>
      <c r="T23" s="153"/>
      <c r="U23" s="154"/>
    </row>
    <row r="24" spans="1:21" s="162" customFormat="1" ht="66" x14ac:dyDescent="0.25">
      <c r="A24" s="190" t="s">
        <v>354</v>
      </c>
      <c r="B24" s="70" t="s">
        <v>97</v>
      </c>
      <c r="C24" s="69" t="s">
        <v>334</v>
      </c>
      <c r="D24" s="70" t="s">
        <v>860</v>
      </c>
      <c r="E24" s="69" t="s">
        <v>840</v>
      </c>
      <c r="F24" s="81" t="s">
        <v>169</v>
      </c>
      <c r="G24" s="81" t="s">
        <v>131</v>
      </c>
      <c r="H24" s="188"/>
      <c r="I24" s="188"/>
      <c r="J24" s="188"/>
      <c r="K24" s="188"/>
      <c r="L24" s="188"/>
      <c r="M24" s="188"/>
      <c r="N24" s="188"/>
      <c r="O24" s="188"/>
      <c r="P24" s="188"/>
      <c r="Q24" s="191" t="s">
        <v>537</v>
      </c>
      <c r="R24" s="191"/>
      <c r="S24" s="188" t="s">
        <v>537</v>
      </c>
      <c r="T24" s="153"/>
      <c r="U24" s="154"/>
    </row>
    <row r="25" spans="1:21" s="162" customFormat="1" ht="66" x14ac:dyDescent="0.25">
      <c r="A25" s="190" t="s">
        <v>355</v>
      </c>
      <c r="B25" s="70" t="s">
        <v>97</v>
      </c>
      <c r="C25" s="69" t="s">
        <v>334</v>
      </c>
      <c r="D25" s="70" t="s">
        <v>861</v>
      </c>
      <c r="E25" s="69" t="s">
        <v>840</v>
      </c>
      <c r="F25" s="81" t="s">
        <v>169</v>
      </c>
      <c r="G25" s="81" t="s">
        <v>116</v>
      </c>
      <c r="H25" s="188"/>
      <c r="I25" s="188"/>
      <c r="J25" s="188" t="s">
        <v>537</v>
      </c>
      <c r="K25" s="188" t="s">
        <v>537</v>
      </c>
      <c r="L25" s="188" t="s">
        <v>537</v>
      </c>
      <c r="M25" s="188" t="s">
        <v>537</v>
      </c>
      <c r="N25" s="188" t="s">
        <v>537</v>
      </c>
      <c r="O25" s="188" t="s">
        <v>537</v>
      </c>
      <c r="P25" s="188" t="s">
        <v>537</v>
      </c>
      <c r="Q25" s="191" t="s">
        <v>537</v>
      </c>
      <c r="R25" s="191"/>
      <c r="S25" s="188" t="s">
        <v>537</v>
      </c>
      <c r="T25" s="153"/>
      <c r="U25" s="154"/>
    </row>
    <row r="26" spans="1:21" s="162" customFormat="1" ht="82.5" x14ac:dyDescent="0.25">
      <c r="A26" s="190" t="s">
        <v>356</v>
      </c>
      <c r="B26" s="70" t="s">
        <v>97</v>
      </c>
      <c r="C26" s="69" t="s">
        <v>208</v>
      </c>
      <c r="D26" s="70" t="s">
        <v>728</v>
      </c>
      <c r="E26" s="69" t="s">
        <v>842</v>
      </c>
      <c r="F26" s="81" t="s">
        <v>169</v>
      </c>
      <c r="G26" s="81" t="s">
        <v>131</v>
      </c>
      <c r="H26" s="188"/>
      <c r="I26" s="188"/>
      <c r="J26" s="188"/>
      <c r="K26" s="188"/>
      <c r="L26" s="188"/>
      <c r="M26" s="188"/>
      <c r="N26" s="188"/>
      <c r="O26" s="188"/>
      <c r="P26" s="188"/>
      <c r="Q26" s="191" t="s">
        <v>537</v>
      </c>
      <c r="R26" s="191"/>
      <c r="S26" s="188" t="s">
        <v>537</v>
      </c>
      <c r="T26" s="153"/>
      <c r="U26" s="154"/>
    </row>
    <row r="27" spans="1:21" s="162" customFormat="1" ht="82.5" x14ac:dyDescent="0.25">
      <c r="A27" s="190" t="s">
        <v>357</v>
      </c>
      <c r="B27" s="70" t="s">
        <v>97</v>
      </c>
      <c r="C27" s="69" t="s">
        <v>208</v>
      </c>
      <c r="D27" s="70" t="s">
        <v>862</v>
      </c>
      <c r="E27" s="69" t="s">
        <v>842</v>
      </c>
      <c r="F27" s="81" t="s">
        <v>169</v>
      </c>
      <c r="G27" s="81" t="s">
        <v>116</v>
      </c>
      <c r="H27" s="188"/>
      <c r="I27" s="188"/>
      <c r="J27" s="188" t="s">
        <v>537</v>
      </c>
      <c r="K27" s="188" t="s">
        <v>537</v>
      </c>
      <c r="L27" s="188" t="s">
        <v>537</v>
      </c>
      <c r="M27" s="188" t="s">
        <v>537</v>
      </c>
      <c r="N27" s="188" t="s">
        <v>537</v>
      </c>
      <c r="O27" s="188" t="s">
        <v>537</v>
      </c>
      <c r="P27" s="188" t="s">
        <v>537</v>
      </c>
      <c r="Q27" s="191" t="s">
        <v>537</v>
      </c>
      <c r="R27" s="191"/>
      <c r="S27" s="188" t="s">
        <v>537</v>
      </c>
      <c r="T27" s="153"/>
      <c r="U27" s="154"/>
    </row>
    <row r="28" spans="1:21" s="162" customFormat="1" ht="49.5" x14ac:dyDescent="0.25">
      <c r="A28" s="190" t="s">
        <v>358</v>
      </c>
      <c r="B28" s="70" t="s">
        <v>97</v>
      </c>
      <c r="C28" s="69" t="s">
        <v>337</v>
      </c>
      <c r="D28" s="70" t="s">
        <v>863</v>
      </c>
      <c r="E28" s="173" t="s">
        <v>844</v>
      </c>
      <c r="F28" s="81" t="s">
        <v>169</v>
      </c>
      <c r="G28" s="81" t="s">
        <v>116</v>
      </c>
      <c r="H28" s="188"/>
      <c r="I28" s="188"/>
      <c r="J28" s="188"/>
      <c r="K28" s="188"/>
      <c r="L28" s="188"/>
      <c r="M28" s="188"/>
      <c r="N28" s="188"/>
      <c r="O28" s="188"/>
      <c r="P28" s="188"/>
      <c r="Q28" s="191" t="s">
        <v>537</v>
      </c>
      <c r="R28" s="191"/>
      <c r="S28" s="188" t="s">
        <v>537</v>
      </c>
      <c r="T28" s="153"/>
      <c r="U28" s="154"/>
    </row>
    <row r="29" spans="1:21" s="162" customFormat="1" ht="33" x14ac:dyDescent="0.25">
      <c r="A29" s="190" t="s">
        <v>359</v>
      </c>
      <c r="B29" s="70" t="s">
        <v>97</v>
      </c>
      <c r="C29" s="69" t="s">
        <v>337</v>
      </c>
      <c r="D29" s="70" t="s">
        <v>864</v>
      </c>
      <c r="E29" s="173" t="s">
        <v>844</v>
      </c>
      <c r="F29" s="81" t="s">
        <v>169</v>
      </c>
      <c r="G29" s="81" t="s">
        <v>116</v>
      </c>
      <c r="H29" s="188"/>
      <c r="I29" s="188"/>
      <c r="J29" s="188" t="s">
        <v>537</v>
      </c>
      <c r="K29" s="188" t="s">
        <v>537</v>
      </c>
      <c r="L29" s="188" t="s">
        <v>537</v>
      </c>
      <c r="M29" s="188" t="s">
        <v>537</v>
      </c>
      <c r="N29" s="188" t="s">
        <v>537</v>
      </c>
      <c r="O29" s="188" t="s">
        <v>537</v>
      </c>
      <c r="P29" s="188" t="s">
        <v>537</v>
      </c>
      <c r="Q29" s="191" t="s">
        <v>537</v>
      </c>
      <c r="R29" s="191"/>
      <c r="S29" s="188" t="s">
        <v>537</v>
      </c>
      <c r="T29" s="153"/>
      <c r="U29" s="154"/>
    </row>
    <row r="30" spans="1:21" s="162" customFormat="1" ht="82.5" x14ac:dyDescent="0.25">
      <c r="A30" s="190" t="s">
        <v>360</v>
      </c>
      <c r="B30" s="70" t="s">
        <v>97</v>
      </c>
      <c r="C30" s="69" t="s">
        <v>136</v>
      </c>
      <c r="D30" s="70" t="s">
        <v>665</v>
      </c>
      <c r="E30" s="69" t="s">
        <v>763</v>
      </c>
      <c r="F30" s="81" t="s">
        <v>169</v>
      </c>
      <c r="G30" s="81" t="s">
        <v>116</v>
      </c>
      <c r="H30" s="188"/>
      <c r="I30" s="188"/>
      <c r="J30" s="188"/>
      <c r="K30" s="188"/>
      <c r="L30" s="188"/>
      <c r="M30" s="188"/>
      <c r="N30" s="188"/>
      <c r="O30" s="188"/>
      <c r="P30" s="188"/>
      <c r="Q30" s="191" t="s">
        <v>537</v>
      </c>
      <c r="R30" s="191"/>
      <c r="S30" s="188" t="s">
        <v>537</v>
      </c>
      <c r="T30" s="153"/>
      <c r="U30" s="154"/>
    </row>
    <row r="31" spans="1:21" s="162" customFormat="1" ht="82.5" x14ac:dyDescent="0.25">
      <c r="A31" s="190" t="s">
        <v>361</v>
      </c>
      <c r="B31" s="70" t="s">
        <v>97</v>
      </c>
      <c r="C31" s="69" t="s">
        <v>136</v>
      </c>
      <c r="D31" s="70" t="s">
        <v>865</v>
      </c>
      <c r="E31" s="69" t="s">
        <v>763</v>
      </c>
      <c r="F31" s="81" t="s">
        <v>169</v>
      </c>
      <c r="G31" s="81" t="s">
        <v>116</v>
      </c>
      <c r="H31" s="188"/>
      <c r="I31" s="188"/>
      <c r="J31" s="188" t="s">
        <v>537</v>
      </c>
      <c r="K31" s="188" t="s">
        <v>537</v>
      </c>
      <c r="L31" s="188" t="s">
        <v>537</v>
      </c>
      <c r="M31" s="188" t="s">
        <v>537</v>
      </c>
      <c r="N31" s="188" t="s">
        <v>537</v>
      </c>
      <c r="O31" s="188" t="s">
        <v>537</v>
      </c>
      <c r="P31" s="188" t="s">
        <v>537</v>
      </c>
      <c r="Q31" s="191" t="s">
        <v>537</v>
      </c>
      <c r="R31" s="191"/>
      <c r="S31" s="188" t="s">
        <v>537</v>
      </c>
      <c r="T31" s="153"/>
      <c r="U31" s="154"/>
    </row>
    <row r="32" spans="1:21" s="162" customFormat="1" ht="132" x14ac:dyDescent="0.25">
      <c r="A32" s="190" t="s">
        <v>362</v>
      </c>
      <c r="B32" s="70" t="s">
        <v>97</v>
      </c>
      <c r="C32" s="69" t="s">
        <v>124</v>
      </c>
      <c r="D32" s="70" t="s">
        <v>720</v>
      </c>
      <c r="E32" s="69" t="s">
        <v>847</v>
      </c>
      <c r="F32" s="81" t="s">
        <v>169</v>
      </c>
      <c r="G32" s="81" t="s">
        <v>116</v>
      </c>
      <c r="H32" s="188"/>
      <c r="I32" s="188"/>
      <c r="J32" s="188"/>
      <c r="K32" s="188"/>
      <c r="L32" s="188"/>
      <c r="M32" s="188"/>
      <c r="N32" s="188"/>
      <c r="O32" s="188"/>
      <c r="P32" s="188"/>
      <c r="Q32" s="191" t="s">
        <v>537</v>
      </c>
      <c r="R32" s="191"/>
      <c r="S32" s="188" t="s">
        <v>537</v>
      </c>
      <c r="T32" s="153"/>
      <c r="U32" s="154"/>
    </row>
    <row r="33" spans="1:21" s="162" customFormat="1" ht="132" x14ac:dyDescent="0.25">
      <c r="A33" s="190" t="s">
        <v>363</v>
      </c>
      <c r="B33" s="70" t="s">
        <v>97</v>
      </c>
      <c r="C33" s="69" t="s">
        <v>124</v>
      </c>
      <c r="D33" s="70" t="s">
        <v>866</v>
      </c>
      <c r="E33" s="69" t="s">
        <v>847</v>
      </c>
      <c r="F33" s="81" t="s">
        <v>169</v>
      </c>
      <c r="G33" s="81" t="s">
        <v>116</v>
      </c>
      <c r="H33" s="188"/>
      <c r="I33" s="188"/>
      <c r="J33" s="188" t="s">
        <v>537</v>
      </c>
      <c r="K33" s="188" t="s">
        <v>537</v>
      </c>
      <c r="L33" s="188" t="s">
        <v>537</v>
      </c>
      <c r="M33" s="188" t="s">
        <v>537</v>
      </c>
      <c r="N33" s="188" t="s">
        <v>537</v>
      </c>
      <c r="O33" s="188" t="s">
        <v>537</v>
      </c>
      <c r="P33" s="188" t="s">
        <v>537</v>
      </c>
      <c r="Q33" s="191" t="s">
        <v>537</v>
      </c>
      <c r="R33" s="191"/>
      <c r="S33" s="188" t="s">
        <v>537</v>
      </c>
      <c r="T33" s="153"/>
      <c r="U33" s="154"/>
    </row>
    <row r="34" spans="1:21" s="162" customFormat="1" ht="66" x14ac:dyDescent="0.25">
      <c r="A34" s="190" t="s">
        <v>364</v>
      </c>
      <c r="B34" s="70" t="s">
        <v>97</v>
      </c>
      <c r="C34" s="69" t="s">
        <v>278</v>
      </c>
      <c r="D34" s="70" t="s">
        <v>867</v>
      </c>
      <c r="E34" s="173" t="s">
        <v>849</v>
      </c>
      <c r="F34" s="81" t="s">
        <v>169</v>
      </c>
      <c r="G34" s="81" t="s">
        <v>116</v>
      </c>
      <c r="H34" s="188"/>
      <c r="I34" s="188"/>
      <c r="J34" s="188"/>
      <c r="K34" s="188"/>
      <c r="L34" s="188"/>
      <c r="M34" s="188"/>
      <c r="N34" s="188"/>
      <c r="O34" s="188"/>
      <c r="P34" s="188"/>
      <c r="Q34" s="191" t="s">
        <v>537</v>
      </c>
      <c r="R34" s="191"/>
      <c r="S34" s="188" t="s">
        <v>537</v>
      </c>
      <c r="T34" s="153"/>
      <c r="U34" s="154"/>
    </row>
    <row r="35" spans="1:21" s="162" customFormat="1" ht="66" x14ac:dyDescent="0.25">
      <c r="A35" s="190" t="s">
        <v>365</v>
      </c>
      <c r="B35" s="70" t="s">
        <v>97</v>
      </c>
      <c r="C35" s="69" t="s">
        <v>278</v>
      </c>
      <c r="D35" s="70" t="s">
        <v>868</v>
      </c>
      <c r="E35" s="173" t="s">
        <v>849</v>
      </c>
      <c r="F35" s="81" t="s">
        <v>169</v>
      </c>
      <c r="G35" s="81" t="s">
        <v>116</v>
      </c>
      <c r="H35" s="188"/>
      <c r="I35" s="188"/>
      <c r="J35" s="188" t="s">
        <v>537</v>
      </c>
      <c r="K35" s="188" t="s">
        <v>537</v>
      </c>
      <c r="L35" s="188" t="s">
        <v>537</v>
      </c>
      <c r="M35" s="188" t="s">
        <v>537</v>
      </c>
      <c r="N35" s="188" t="s">
        <v>537</v>
      </c>
      <c r="O35" s="188" t="s">
        <v>537</v>
      </c>
      <c r="P35" s="188" t="s">
        <v>537</v>
      </c>
      <c r="Q35" s="191" t="s">
        <v>537</v>
      </c>
      <c r="R35" s="191"/>
      <c r="S35" s="188" t="s">
        <v>537</v>
      </c>
      <c r="T35" s="153"/>
      <c r="U35" s="154"/>
    </row>
    <row r="36" spans="1:21" s="162" customFormat="1" ht="330" x14ac:dyDescent="0.25">
      <c r="A36" s="80" t="s">
        <v>366</v>
      </c>
      <c r="B36" s="70" t="s">
        <v>97</v>
      </c>
      <c r="C36" s="69" t="s">
        <v>342</v>
      </c>
      <c r="D36" s="70" t="s">
        <v>869</v>
      </c>
      <c r="E36" s="173" t="s">
        <v>851</v>
      </c>
      <c r="F36" s="81" t="s">
        <v>169</v>
      </c>
      <c r="G36" s="81" t="s">
        <v>116</v>
      </c>
      <c r="H36" s="188"/>
      <c r="I36" s="188"/>
      <c r="J36" s="188"/>
      <c r="K36" s="188"/>
      <c r="L36" s="188"/>
      <c r="M36" s="188"/>
      <c r="N36" s="188"/>
      <c r="O36" s="188"/>
      <c r="P36" s="188"/>
      <c r="Q36" s="191" t="s">
        <v>537</v>
      </c>
      <c r="R36" s="191"/>
      <c r="S36" s="188" t="s">
        <v>537</v>
      </c>
      <c r="T36" s="153"/>
      <c r="U36" s="154"/>
    </row>
    <row r="37" spans="1:21" s="162" customFormat="1" ht="330" x14ac:dyDescent="0.25">
      <c r="A37" s="80" t="s">
        <v>367</v>
      </c>
      <c r="B37" s="70" t="s">
        <v>97</v>
      </c>
      <c r="C37" s="69" t="s">
        <v>342</v>
      </c>
      <c r="D37" s="70" t="s">
        <v>870</v>
      </c>
      <c r="E37" s="173" t="s">
        <v>851</v>
      </c>
      <c r="F37" s="188" t="s">
        <v>169</v>
      </c>
      <c r="G37" s="81" t="s">
        <v>116</v>
      </c>
      <c r="H37" s="188"/>
      <c r="I37" s="188"/>
      <c r="J37" s="188" t="s">
        <v>537</v>
      </c>
      <c r="K37" s="188" t="s">
        <v>537</v>
      </c>
      <c r="L37" s="188" t="s">
        <v>537</v>
      </c>
      <c r="M37" s="188" t="s">
        <v>537</v>
      </c>
      <c r="N37" s="188" t="s">
        <v>537</v>
      </c>
      <c r="O37" s="188" t="s">
        <v>537</v>
      </c>
      <c r="P37" s="188" t="s">
        <v>537</v>
      </c>
      <c r="Q37" s="191" t="s">
        <v>537</v>
      </c>
      <c r="R37" s="191"/>
      <c r="S37" s="188" t="s">
        <v>537</v>
      </c>
      <c r="T37" s="153"/>
      <c r="U37" s="154"/>
    </row>
    <row r="38" spans="1:21" s="162" customFormat="1" ht="66" x14ac:dyDescent="0.25">
      <c r="A38" s="190" t="s">
        <v>368</v>
      </c>
      <c r="B38" s="70" t="s">
        <v>97</v>
      </c>
      <c r="C38" s="69" t="s">
        <v>138</v>
      </c>
      <c r="D38" s="70" t="s">
        <v>871</v>
      </c>
      <c r="E38" s="69" t="s">
        <v>853</v>
      </c>
      <c r="F38" s="81" t="s">
        <v>169</v>
      </c>
      <c r="G38" s="81" t="s">
        <v>116</v>
      </c>
      <c r="H38" s="188"/>
      <c r="I38" s="188"/>
      <c r="J38" s="188"/>
      <c r="K38" s="188"/>
      <c r="L38" s="188"/>
      <c r="M38" s="188"/>
      <c r="N38" s="188"/>
      <c r="O38" s="188"/>
      <c r="P38" s="188"/>
      <c r="Q38" s="191" t="s">
        <v>537</v>
      </c>
      <c r="R38" s="188"/>
      <c r="S38" s="188" t="s">
        <v>537</v>
      </c>
      <c r="T38" s="153"/>
      <c r="U38" s="154"/>
    </row>
    <row r="39" spans="1:21" s="162" customFormat="1" ht="49.5" x14ac:dyDescent="0.25">
      <c r="A39" s="190" t="s">
        <v>369</v>
      </c>
      <c r="B39" s="70" t="s">
        <v>97</v>
      </c>
      <c r="C39" s="69" t="s">
        <v>138</v>
      </c>
      <c r="D39" s="70" t="s">
        <v>872</v>
      </c>
      <c r="E39" s="69" t="s">
        <v>853</v>
      </c>
      <c r="F39" s="81" t="s">
        <v>169</v>
      </c>
      <c r="G39" s="81" t="s">
        <v>116</v>
      </c>
      <c r="H39" s="188"/>
      <c r="I39" s="188"/>
      <c r="J39" s="188" t="s">
        <v>537</v>
      </c>
      <c r="K39" s="188" t="s">
        <v>537</v>
      </c>
      <c r="L39" s="188" t="s">
        <v>537</v>
      </c>
      <c r="M39" s="188" t="s">
        <v>537</v>
      </c>
      <c r="N39" s="188" t="s">
        <v>537</v>
      </c>
      <c r="O39" s="188" t="s">
        <v>537</v>
      </c>
      <c r="P39" s="188" t="s">
        <v>537</v>
      </c>
      <c r="Q39" s="191" t="s">
        <v>537</v>
      </c>
      <c r="R39" s="188"/>
      <c r="S39" s="188" t="s">
        <v>537</v>
      </c>
      <c r="T39" s="153"/>
      <c r="U39" s="154"/>
    </row>
    <row r="40" spans="1:21" s="162" customFormat="1" ht="82.5" x14ac:dyDescent="0.25">
      <c r="A40" s="80" t="s">
        <v>370</v>
      </c>
      <c r="B40" s="70" t="s">
        <v>97</v>
      </c>
      <c r="C40" s="69" t="s">
        <v>329</v>
      </c>
      <c r="D40" s="70" t="s">
        <v>873</v>
      </c>
      <c r="E40" s="69" t="s">
        <v>833</v>
      </c>
      <c r="F40" s="81" t="s">
        <v>169</v>
      </c>
      <c r="G40" s="81" t="s">
        <v>116</v>
      </c>
      <c r="H40" s="188"/>
      <c r="I40" s="188"/>
      <c r="J40" s="188"/>
      <c r="K40" s="188"/>
      <c r="L40" s="188"/>
      <c r="M40" s="188"/>
      <c r="N40" s="188"/>
      <c r="O40" s="188"/>
      <c r="P40" s="188"/>
      <c r="Q40" s="191" t="s">
        <v>537</v>
      </c>
      <c r="R40" s="188"/>
      <c r="S40" s="188" t="s">
        <v>537</v>
      </c>
      <c r="T40" s="153"/>
      <c r="U40" s="154"/>
    </row>
    <row r="41" spans="1:21" s="162" customFormat="1" ht="82.5" x14ac:dyDescent="0.25">
      <c r="A41" s="80" t="s">
        <v>371</v>
      </c>
      <c r="B41" s="70" t="s">
        <v>97</v>
      </c>
      <c r="C41" s="69" t="s">
        <v>329</v>
      </c>
      <c r="D41" s="70" t="s">
        <v>874</v>
      </c>
      <c r="E41" s="69" t="s">
        <v>833</v>
      </c>
      <c r="F41" s="81" t="s">
        <v>169</v>
      </c>
      <c r="G41" s="81" t="s">
        <v>116</v>
      </c>
      <c r="H41" s="188"/>
      <c r="I41" s="188"/>
      <c r="J41" s="188" t="s">
        <v>537</v>
      </c>
      <c r="K41" s="188" t="s">
        <v>537</v>
      </c>
      <c r="L41" s="188" t="s">
        <v>537</v>
      </c>
      <c r="M41" s="188" t="s">
        <v>537</v>
      </c>
      <c r="N41" s="188" t="s">
        <v>537</v>
      </c>
      <c r="O41" s="188" t="s">
        <v>537</v>
      </c>
      <c r="P41" s="188" t="s">
        <v>537</v>
      </c>
      <c r="Q41" s="191" t="s">
        <v>537</v>
      </c>
      <c r="R41" s="188"/>
      <c r="S41" s="188" t="s">
        <v>537</v>
      </c>
      <c r="T41" s="153"/>
      <c r="U41" s="154"/>
    </row>
    <row r="42" spans="1:21" s="162" customFormat="1" ht="49.5" x14ac:dyDescent="0.25">
      <c r="A42" s="80" t="s">
        <v>372</v>
      </c>
      <c r="B42" s="70" t="s">
        <v>97</v>
      </c>
      <c r="C42" s="69" t="s">
        <v>197</v>
      </c>
      <c r="D42" s="70" t="s">
        <v>743</v>
      </c>
      <c r="E42" s="69" t="s">
        <v>764</v>
      </c>
      <c r="F42" s="81" t="s">
        <v>169</v>
      </c>
      <c r="G42" s="81" t="s">
        <v>116</v>
      </c>
      <c r="H42" s="188"/>
      <c r="I42" s="188"/>
      <c r="J42" s="188"/>
      <c r="K42" s="188"/>
      <c r="L42" s="188"/>
      <c r="M42" s="188"/>
      <c r="N42" s="188"/>
      <c r="O42" s="188"/>
      <c r="P42" s="188"/>
      <c r="Q42" s="191" t="s">
        <v>537</v>
      </c>
      <c r="R42" s="188"/>
      <c r="S42" s="188" t="s">
        <v>537</v>
      </c>
      <c r="T42" s="153"/>
      <c r="U42" s="154"/>
    </row>
    <row r="43" spans="1:21" s="162" customFormat="1" ht="49.5" x14ac:dyDescent="0.25">
      <c r="A43" s="80" t="s">
        <v>373</v>
      </c>
      <c r="B43" s="70" t="s">
        <v>97</v>
      </c>
      <c r="C43" s="69" t="s">
        <v>197</v>
      </c>
      <c r="D43" s="70" t="s">
        <v>875</v>
      </c>
      <c r="E43" s="69" t="s">
        <v>764</v>
      </c>
      <c r="F43" s="81" t="s">
        <v>169</v>
      </c>
      <c r="G43" s="81" t="s">
        <v>116</v>
      </c>
      <c r="H43" s="188"/>
      <c r="I43" s="188"/>
      <c r="J43" s="188" t="s">
        <v>537</v>
      </c>
      <c r="K43" s="188" t="s">
        <v>537</v>
      </c>
      <c r="L43" s="188" t="s">
        <v>537</v>
      </c>
      <c r="M43" s="188" t="s">
        <v>537</v>
      </c>
      <c r="N43" s="188" t="s">
        <v>537</v>
      </c>
      <c r="O43" s="188" t="s">
        <v>537</v>
      </c>
      <c r="P43" s="188" t="s">
        <v>537</v>
      </c>
      <c r="Q43" s="191" t="s">
        <v>537</v>
      </c>
      <c r="R43" s="188"/>
      <c r="S43" s="188" t="s">
        <v>537</v>
      </c>
      <c r="T43" s="153"/>
      <c r="U43" s="154"/>
    </row>
    <row r="44" spans="1:21" s="162" customFormat="1" ht="115.5" x14ac:dyDescent="0.25">
      <c r="A44" s="80" t="s">
        <v>374</v>
      </c>
      <c r="B44" s="70" t="s">
        <v>97</v>
      </c>
      <c r="C44" s="69" t="s">
        <v>133</v>
      </c>
      <c r="D44" s="70" t="s">
        <v>683</v>
      </c>
      <c r="E44" s="69" t="s">
        <v>836</v>
      </c>
      <c r="F44" s="81" t="s">
        <v>169</v>
      </c>
      <c r="G44" s="81" t="s">
        <v>116</v>
      </c>
      <c r="H44" s="188"/>
      <c r="I44" s="188"/>
      <c r="J44" s="188"/>
      <c r="K44" s="188"/>
      <c r="L44" s="188"/>
      <c r="M44" s="188"/>
      <c r="N44" s="188"/>
      <c r="O44" s="188"/>
      <c r="P44" s="188"/>
      <c r="Q44" s="191" t="s">
        <v>537</v>
      </c>
      <c r="R44" s="188"/>
      <c r="S44" s="188" t="s">
        <v>537</v>
      </c>
      <c r="T44" s="153"/>
      <c r="U44" s="154"/>
    </row>
    <row r="45" spans="1:21" s="162" customFormat="1" ht="115.5" x14ac:dyDescent="0.25">
      <c r="A45" s="80" t="s">
        <v>375</v>
      </c>
      <c r="B45" s="70" t="s">
        <v>97</v>
      </c>
      <c r="C45" s="69" t="s">
        <v>133</v>
      </c>
      <c r="D45" s="70" t="s">
        <v>876</v>
      </c>
      <c r="E45" s="69" t="s">
        <v>836</v>
      </c>
      <c r="F45" s="81" t="s">
        <v>169</v>
      </c>
      <c r="G45" s="81" t="s">
        <v>116</v>
      </c>
      <c r="H45" s="188"/>
      <c r="I45" s="188"/>
      <c r="J45" s="188" t="s">
        <v>537</v>
      </c>
      <c r="K45" s="188" t="s">
        <v>537</v>
      </c>
      <c r="L45" s="188" t="s">
        <v>537</v>
      </c>
      <c r="M45" s="188" t="s">
        <v>537</v>
      </c>
      <c r="N45" s="188" t="s">
        <v>537</v>
      </c>
      <c r="O45" s="188" t="s">
        <v>537</v>
      </c>
      <c r="P45" s="188" t="s">
        <v>537</v>
      </c>
      <c r="Q45" s="191" t="s">
        <v>537</v>
      </c>
      <c r="R45" s="188"/>
      <c r="S45" s="188" t="s">
        <v>537</v>
      </c>
      <c r="T45" s="153"/>
      <c r="U45" s="154"/>
    </row>
    <row r="46" spans="1:21" s="162" customFormat="1" ht="99" x14ac:dyDescent="0.25">
      <c r="A46" s="80" t="s">
        <v>376</v>
      </c>
      <c r="B46" s="70" t="s">
        <v>97</v>
      </c>
      <c r="C46" s="69" t="s">
        <v>200</v>
      </c>
      <c r="D46" s="70" t="s">
        <v>746</v>
      </c>
      <c r="E46" s="69" t="s">
        <v>838</v>
      </c>
      <c r="F46" s="81" t="s">
        <v>169</v>
      </c>
      <c r="G46" s="81" t="s">
        <v>116</v>
      </c>
      <c r="H46" s="188"/>
      <c r="I46" s="188"/>
      <c r="J46" s="188"/>
      <c r="K46" s="188"/>
      <c r="L46" s="188"/>
      <c r="M46" s="188"/>
      <c r="N46" s="188"/>
      <c r="O46" s="188"/>
      <c r="P46" s="188"/>
      <c r="Q46" s="191" t="s">
        <v>537</v>
      </c>
      <c r="R46" s="188"/>
      <c r="S46" s="188" t="s">
        <v>537</v>
      </c>
      <c r="T46" s="153"/>
      <c r="U46" s="154"/>
    </row>
    <row r="47" spans="1:21" s="162" customFormat="1" ht="99" x14ac:dyDescent="0.25">
      <c r="A47" s="80" t="s">
        <v>377</v>
      </c>
      <c r="B47" s="70" t="s">
        <v>97</v>
      </c>
      <c r="C47" s="69" t="s">
        <v>200</v>
      </c>
      <c r="D47" s="70" t="s">
        <v>877</v>
      </c>
      <c r="E47" s="69" t="s">
        <v>838</v>
      </c>
      <c r="F47" s="81" t="s">
        <v>169</v>
      </c>
      <c r="G47" s="81" t="s">
        <v>116</v>
      </c>
      <c r="H47" s="188"/>
      <c r="I47" s="188"/>
      <c r="J47" s="188" t="s">
        <v>537</v>
      </c>
      <c r="K47" s="188" t="s">
        <v>537</v>
      </c>
      <c r="L47" s="188" t="s">
        <v>537</v>
      </c>
      <c r="M47" s="188" t="s">
        <v>537</v>
      </c>
      <c r="N47" s="188" t="s">
        <v>537</v>
      </c>
      <c r="O47" s="188" t="s">
        <v>537</v>
      </c>
      <c r="P47" s="188" t="s">
        <v>537</v>
      </c>
      <c r="Q47" s="191" t="s">
        <v>537</v>
      </c>
      <c r="R47" s="188"/>
      <c r="S47" s="188" t="s">
        <v>537</v>
      </c>
      <c r="T47" s="153"/>
      <c r="U47" s="154"/>
    </row>
    <row r="48" spans="1:21" s="162" customFormat="1" ht="66" x14ac:dyDescent="0.25">
      <c r="A48" s="80" t="s">
        <v>378</v>
      </c>
      <c r="B48" s="70" t="s">
        <v>97</v>
      </c>
      <c r="C48" s="69" t="s">
        <v>334</v>
      </c>
      <c r="D48" s="70" t="s">
        <v>878</v>
      </c>
      <c r="E48" s="69" t="s">
        <v>840</v>
      </c>
      <c r="F48" s="81" t="s">
        <v>169</v>
      </c>
      <c r="G48" s="81" t="s">
        <v>131</v>
      </c>
      <c r="H48" s="188"/>
      <c r="I48" s="188"/>
      <c r="J48" s="188"/>
      <c r="K48" s="188"/>
      <c r="L48" s="188"/>
      <c r="M48" s="188"/>
      <c r="N48" s="188"/>
      <c r="O48" s="188"/>
      <c r="P48" s="188"/>
      <c r="Q48" s="191" t="s">
        <v>537</v>
      </c>
      <c r="R48" s="188"/>
      <c r="S48" s="188" t="s">
        <v>537</v>
      </c>
      <c r="T48" s="153"/>
      <c r="U48" s="154"/>
    </row>
    <row r="49" spans="1:21" s="162" customFormat="1" ht="66" x14ac:dyDescent="0.25">
      <c r="A49" s="80" t="s">
        <v>379</v>
      </c>
      <c r="B49" s="70" t="s">
        <v>97</v>
      </c>
      <c r="C49" s="69" t="s">
        <v>334</v>
      </c>
      <c r="D49" s="70" t="s">
        <v>879</v>
      </c>
      <c r="E49" s="69" t="s">
        <v>840</v>
      </c>
      <c r="F49" s="81" t="s">
        <v>169</v>
      </c>
      <c r="G49" s="81" t="s">
        <v>116</v>
      </c>
      <c r="H49" s="188"/>
      <c r="I49" s="188"/>
      <c r="J49" s="188" t="s">
        <v>537</v>
      </c>
      <c r="K49" s="188" t="s">
        <v>537</v>
      </c>
      <c r="L49" s="188" t="s">
        <v>537</v>
      </c>
      <c r="M49" s="188" t="s">
        <v>537</v>
      </c>
      <c r="N49" s="188" t="s">
        <v>537</v>
      </c>
      <c r="O49" s="188" t="s">
        <v>537</v>
      </c>
      <c r="P49" s="188" t="s">
        <v>537</v>
      </c>
      <c r="Q49" s="191" t="s">
        <v>537</v>
      </c>
      <c r="R49" s="188"/>
      <c r="S49" s="188" t="s">
        <v>537</v>
      </c>
      <c r="T49" s="153"/>
      <c r="U49" s="154"/>
    </row>
    <row r="50" spans="1:21" s="162" customFormat="1" ht="82.5" x14ac:dyDescent="0.25">
      <c r="A50" s="80" t="s">
        <v>380</v>
      </c>
      <c r="B50" s="70" t="s">
        <v>97</v>
      </c>
      <c r="C50" s="69" t="s">
        <v>208</v>
      </c>
      <c r="D50" s="70" t="s">
        <v>751</v>
      </c>
      <c r="E50" s="69" t="s">
        <v>842</v>
      </c>
      <c r="F50" s="81" t="s">
        <v>169</v>
      </c>
      <c r="G50" s="81" t="s">
        <v>131</v>
      </c>
      <c r="H50" s="188"/>
      <c r="I50" s="188"/>
      <c r="J50" s="188"/>
      <c r="K50" s="188"/>
      <c r="L50" s="188"/>
      <c r="M50" s="188"/>
      <c r="N50" s="188"/>
      <c r="O50" s="188"/>
      <c r="P50" s="188"/>
      <c r="Q50" s="191" t="s">
        <v>537</v>
      </c>
      <c r="R50" s="188"/>
      <c r="S50" s="188" t="s">
        <v>537</v>
      </c>
      <c r="T50" s="153"/>
      <c r="U50" s="154"/>
    </row>
    <row r="51" spans="1:21" s="162" customFormat="1" ht="82.5" x14ac:dyDescent="0.25">
      <c r="A51" s="80" t="s">
        <v>381</v>
      </c>
      <c r="B51" s="70" t="s">
        <v>97</v>
      </c>
      <c r="C51" s="69" t="s">
        <v>208</v>
      </c>
      <c r="D51" s="70" t="s">
        <v>880</v>
      </c>
      <c r="E51" s="69" t="s">
        <v>842</v>
      </c>
      <c r="F51" s="81" t="s">
        <v>169</v>
      </c>
      <c r="G51" s="81" t="s">
        <v>116</v>
      </c>
      <c r="H51" s="188"/>
      <c r="I51" s="188"/>
      <c r="J51" s="188" t="s">
        <v>537</v>
      </c>
      <c r="K51" s="188" t="s">
        <v>537</v>
      </c>
      <c r="L51" s="188" t="s">
        <v>537</v>
      </c>
      <c r="M51" s="188" t="s">
        <v>537</v>
      </c>
      <c r="N51" s="188" t="s">
        <v>537</v>
      </c>
      <c r="O51" s="188" t="s">
        <v>537</v>
      </c>
      <c r="P51" s="188" t="s">
        <v>537</v>
      </c>
      <c r="Q51" s="191" t="s">
        <v>537</v>
      </c>
      <c r="R51" s="188"/>
      <c r="S51" s="188" t="s">
        <v>537</v>
      </c>
      <c r="T51" s="153"/>
      <c r="U51" s="154"/>
    </row>
    <row r="52" spans="1:21" s="162" customFormat="1" ht="49.5" x14ac:dyDescent="0.25">
      <c r="A52" s="80" t="s">
        <v>382</v>
      </c>
      <c r="B52" s="70" t="s">
        <v>97</v>
      </c>
      <c r="C52" s="69" t="s">
        <v>337</v>
      </c>
      <c r="D52" s="70" t="s">
        <v>881</v>
      </c>
      <c r="E52" s="173" t="s">
        <v>844</v>
      </c>
      <c r="F52" s="81" t="s">
        <v>169</v>
      </c>
      <c r="G52" s="81" t="s">
        <v>116</v>
      </c>
      <c r="H52" s="188"/>
      <c r="I52" s="188"/>
      <c r="J52" s="188"/>
      <c r="K52" s="188"/>
      <c r="L52" s="188"/>
      <c r="M52" s="188"/>
      <c r="N52" s="188"/>
      <c r="O52" s="188"/>
      <c r="P52" s="188"/>
      <c r="Q52" s="191" t="s">
        <v>537</v>
      </c>
      <c r="R52" s="188"/>
      <c r="S52" s="188" t="s">
        <v>537</v>
      </c>
      <c r="T52" s="153"/>
      <c r="U52" s="154"/>
    </row>
    <row r="53" spans="1:21" s="162" customFormat="1" ht="33" x14ac:dyDescent="0.25">
      <c r="A53" s="80" t="s">
        <v>383</v>
      </c>
      <c r="B53" s="70" t="s">
        <v>97</v>
      </c>
      <c r="C53" s="69" t="s">
        <v>337</v>
      </c>
      <c r="D53" s="70" t="s">
        <v>882</v>
      </c>
      <c r="E53" s="173" t="s">
        <v>844</v>
      </c>
      <c r="F53" s="81" t="s">
        <v>169</v>
      </c>
      <c r="G53" s="81" t="s">
        <v>116</v>
      </c>
      <c r="H53" s="188"/>
      <c r="I53" s="188"/>
      <c r="J53" s="188" t="s">
        <v>537</v>
      </c>
      <c r="K53" s="188" t="s">
        <v>537</v>
      </c>
      <c r="L53" s="188" t="s">
        <v>537</v>
      </c>
      <c r="M53" s="188" t="s">
        <v>537</v>
      </c>
      <c r="N53" s="188" t="s">
        <v>537</v>
      </c>
      <c r="O53" s="188" t="s">
        <v>537</v>
      </c>
      <c r="P53" s="188" t="s">
        <v>537</v>
      </c>
      <c r="Q53" s="191" t="s">
        <v>537</v>
      </c>
      <c r="R53" s="188"/>
      <c r="S53" s="188" t="s">
        <v>537</v>
      </c>
      <c r="T53" s="153"/>
      <c r="U53" s="154"/>
    </row>
    <row r="54" spans="1:21" s="162" customFormat="1" ht="82.5" x14ac:dyDescent="0.25">
      <c r="A54" s="80" t="s">
        <v>384</v>
      </c>
      <c r="B54" s="70" t="s">
        <v>97</v>
      </c>
      <c r="C54" s="69" t="s">
        <v>136</v>
      </c>
      <c r="D54" s="70" t="s">
        <v>685</v>
      </c>
      <c r="E54" s="69" t="s">
        <v>763</v>
      </c>
      <c r="F54" s="81" t="s">
        <v>169</v>
      </c>
      <c r="G54" s="81" t="s">
        <v>116</v>
      </c>
      <c r="H54" s="188"/>
      <c r="I54" s="188"/>
      <c r="J54" s="188"/>
      <c r="K54" s="188"/>
      <c r="L54" s="188"/>
      <c r="M54" s="188"/>
      <c r="N54" s="188"/>
      <c r="O54" s="188"/>
      <c r="P54" s="188"/>
      <c r="Q54" s="191" t="s">
        <v>537</v>
      </c>
      <c r="R54" s="188"/>
      <c r="S54" s="188" t="s">
        <v>537</v>
      </c>
      <c r="T54" s="153"/>
      <c r="U54" s="154"/>
    </row>
    <row r="55" spans="1:21" s="162" customFormat="1" ht="82.5" x14ac:dyDescent="0.25">
      <c r="A55" s="80" t="s">
        <v>385</v>
      </c>
      <c r="B55" s="70" t="s">
        <v>97</v>
      </c>
      <c r="C55" s="69" t="s">
        <v>136</v>
      </c>
      <c r="D55" s="70" t="s">
        <v>883</v>
      </c>
      <c r="E55" s="69" t="s">
        <v>763</v>
      </c>
      <c r="F55" s="81" t="s">
        <v>169</v>
      </c>
      <c r="G55" s="81" t="s">
        <v>116</v>
      </c>
      <c r="H55" s="188"/>
      <c r="I55" s="188"/>
      <c r="J55" s="188" t="s">
        <v>537</v>
      </c>
      <c r="K55" s="188" t="s">
        <v>537</v>
      </c>
      <c r="L55" s="188" t="s">
        <v>537</v>
      </c>
      <c r="M55" s="188" t="s">
        <v>537</v>
      </c>
      <c r="N55" s="188" t="s">
        <v>537</v>
      </c>
      <c r="O55" s="188" t="s">
        <v>537</v>
      </c>
      <c r="P55" s="188" t="s">
        <v>537</v>
      </c>
      <c r="Q55" s="191" t="s">
        <v>537</v>
      </c>
      <c r="R55" s="188"/>
      <c r="S55" s="188" t="s">
        <v>537</v>
      </c>
      <c r="T55" s="153"/>
      <c r="U55" s="154"/>
    </row>
    <row r="56" spans="1:21" s="162" customFormat="1" ht="132" x14ac:dyDescent="0.25">
      <c r="A56" s="80" t="s">
        <v>386</v>
      </c>
      <c r="B56" s="70" t="s">
        <v>97</v>
      </c>
      <c r="C56" s="69" t="s">
        <v>124</v>
      </c>
      <c r="D56" s="70" t="s">
        <v>677</v>
      </c>
      <c r="E56" s="69" t="s">
        <v>847</v>
      </c>
      <c r="F56" s="81" t="s">
        <v>169</v>
      </c>
      <c r="G56" s="81" t="s">
        <v>116</v>
      </c>
      <c r="H56" s="188"/>
      <c r="I56" s="188"/>
      <c r="J56" s="188"/>
      <c r="K56" s="188"/>
      <c r="L56" s="188"/>
      <c r="M56" s="188"/>
      <c r="N56" s="188"/>
      <c r="O56" s="188"/>
      <c r="P56" s="188"/>
      <c r="Q56" s="191" t="s">
        <v>537</v>
      </c>
      <c r="R56" s="188"/>
      <c r="S56" s="188" t="s">
        <v>537</v>
      </c>
      <c r="T56" s="153"/>
      <c r="U56" s="154"/>
    </row>
    <row r="57" spans="1:21" s="162" customFormat="1" ht="132" x14ac:dyDescent="0.25">
      <c r="A57" s="80" t="s">
        <v>387</v>
      </c>
      <c r="B57" s="70" t="s">
        <v>97</v>
      </c>
      <c r="C57" s="69" t="s">
        <v>124</v>
      </c>
      <c r="D57" s="70" t="s">
        <v>884</v>
      </c>
      <c r="E57" s="69" t="s">
        <v>847</v>
      </c>
      <c r="F57" s="81" t="s">
        <v>169</v>
      </c>
      <c r="G57" s="81" t="s">
        <v>116</v>
      </c>
      <c r="H57" s="188"/>
      <c r="I57" s="188"/>
      <c r="J57" s="188" t="s">
        <v>537</v>
      </c>
      <c r="K57" s="188" t="s">
        <v>537</v>
      </c>
      <c r="L57" s="188" t="s">
        <v>537</v>
      </c>
      <c r="M57" s="188" t="s">
        <v>537</v>
      </c>
      <c r="N57" s="188" t="s">
        <v>537</v>
      </c>
      <c r="O57" s="188" t="s">
        <v>537</v>
      </c>
      <c r="P57" s="188" t="s">
        <v>537</v>
      </c>
      <c r="Q57" s="191" t="s">
        <v>537</v>
      </c>
      <c r="R57" s="188"/>
      <c r="S57" s="188" t="s">
        <v>537</v>
      </c>
      <c r="T57" s="153"/>
      <c r="U57" s="154"/>
    </row>
    <row r="58" spans="1:21" s="162" customFormat="1" ht="66" x14ac:dyDescent="0.25">
      <c r="A58" s="80" t="s">
        <v>388</v>
      </c>
      <c r="B58" s="70" t="s">
        <v>97</v>
      </c>
      <c r="C58" s="69" t="s">
        <v>278</v>
      </c>
      <c r="D58" s="70" t="s">
        <v>885</v>
      </c>
      <c r="E58" s="173" t="s">
        <v>849</v>
      </c>
      <c r="F58" s="81" t="s">
        <v>169</v>
      </c>
      <c r="G58" s="81" t="s">
        <v>116</v>
      </c>
      <c r="H58" s="188"/>
      <c r="I58" s="188"/>
      <c r="J58" s="188"/>
      <c r="K58" s="188"/>
      <c r="L58" s="188"/>
      <c r="M58" s="188"/>
      <c r="N58" s="188"/>
      <c r="O58" s="188"/>
      <c r="P58" s="188"/>
      <c r="Q58" s="191" t="s">
        <v>537</v>
      </c>
      <c r="R58" s="188"/>
      <c r="S58" s="188" t="s">
        <v>537</v>
      </c>
      <c r="T58" s="153"/>
      <c r="U58" s="154"/>
    </row>
    <row r="59" spans="1:21" s="162" customFormat="1" ht="66" x14ac:dyDescent="0.25">
      <c r="A59" s="80" t="s">
        <v>389</v>
      </c>
      <c r="B59" s="70" t="s">
        <v>97</v>
      </c>
      <c r="C59" s="69" t="s">
        <v>278</v>
      </c>
      <c r="D59" s="70" t="s">
        <v>886</v>
      </c>
      <c r="E59" s="173" t="s">
        <v>849</v>
      </c>
      <c r="F59" s="81" t="s">
        <v>169</v>
      </c>
      <c r="G59" s="81" t="s">
        <v>116</v>
      </c>
      <c r="H59" s="188"/>
      <c r="I59" s="188"/>
      <c r="J59" s="188" t="s">
        <v>537</v>
      </c>
      <c r="K59" s="188" t="s">
        <v>537</v>
      </c>
      <c r="L59" s="188" t="s">
        <v>537</v>
      </c>
      <c r="M59" s="188" t="s">
        <v>537</v>
      </c>
      <c r="N59" s="188" t="s">
        <v>537</v>
      </c>
      <c r="O59" s="188" t="s">
        <v>537</v>
      </c>
      <c r="P59" s="188" t="s">
        <v>537</v>
      </c>
      <c r="Q59" s="191" t="s">
        <v>537</v>
      </c>
      <c r="R59" s="188"/>
      <c r="S59" s="188" t="s">
        <v>537</v>
      </c>
      <c r="T59" s="153"/>
      <c r="U59" s="154"/>
    </row>
    <row r="60" spans="1:21" s="162" customFormat="1" ht="330" x14ac:dyDescent="0.25">
      <c r="A60" s="80" t="s">
        <v>390</v>
      </c>
      <c r="B60" s="70" t="s">
        <v>97</v>
      </c>
      <c r="C60" s="69" t="s">
        <v>342</v>
      </c>
      <c r="D60" s="70" t="s">
        <v>887</v>
      </c>
      <c r="E60" s="173" t="s">
        <v>851</v>
      </c>
      <c r="F60" s="81" t="s">
        <v>169</v>
      </c>
      <c r="G60" s="81" t="s">
        <v>116</v>
      </c>
      <c r="H60" s="188"/>
      <c r="I60" s="188"/>
      <c r="J60" s="188"/>
      <c r="K60" s="188"/>
      <c r="L60" s="188"/>
      <c r="M60" s="188"/>
      <c r="N60" s="188"/>
      <c r="O60" s="188"/>
      <c r="P60" s="188"/>
      <c r="Q60" s="191" t="s">
        <v>537</v>
      </c>
      <c r="R60" s="188"/>
      <c r="S60" s="188" t="s">
        <v>537</v>
      </c>
      <c r="T60" s="153"/>
      <c r="U60" s="154"/>
    </row>
    <row r="61" spans="1:21" s="162" customFormat="1" ht="330" x14ac:dyDescent="0.25">
      <c r="A61" s="80" t="s">
        <v>391</v>
      </c>
      <c r="B61" s="70" t="s">
        <v>97</v>
      </c>
      <c r="C61" s="69" t="s">
        <v>342</v>
      </c>
      <c r="D61" s="70" t="s">
        <v>888</v>
      </c>
      <c r="E61" s="173" t="s">
        <v>851</v>
      </c>
      <c r="F61" s="81" t="s">
        <v>169</v>
      </c>
      <c r="G61" s="81" t="s">
        <v>116</v>
      </c>
      <c r="H61" s="188"/>
      <c r="I61" s="188"/>
      <c r="J61" s="188" t="s">
        <v>537</v>
      </c>
      <c r="K61" s="188" t="s">
        <v>537</v>
      </c>
      <c r="L61" s="188" t="s">
        <v>537</v>
      </c>
      <c r="M61" s="188" t="s">
        <v>537</v>
      </c>
      <c r="N61" s="188" t="s">
        <v>537</v>
      </c>
      <c r="O61" s="188" t="s">
        <v>537</v>
      </c>
      <c r="P61" s="188" t="s">
        <v>537</v>
      </c>
      <c r="Q61" s="191" t="s">
        <v>537</v>
      </c>
      <c r="R61" s="191"/>
      <c r="S61" s="188" t="s">
        <v>537</v>
      </c>
      <c r="T61" s="153"/>
      <c r="U61" s="154"/>
    </row>
    <row r="62" spans="1:21" s="162" customFormat="1" ht="49.5" x14ac:dyDescent="0.25">
      <c r="A62" s="80" t="s">
        <v>392</v>
      </c>
      <c r="B62" s="70" t="s">
        <v>97</v>
      </c>
      <c r="C62" s="69" t="s">
        <v>138</v>
      </c>
      <c r="D62" s="70" t="s">
        <v>687</v>
      </c>
      <c r="E62" s="69" t="s">
        <v>853</v>
      </c>
      <c r="F62" s="81" t="s">
        <v>169</v>
      </c>
      <c r="G62" s="81" t="s">
        <v>116</v>
      </c>
      <c r="H62" s="188"/>
      <c r="I62" s="188"/>
      <c r="J62" s="188"/>
      <c r="K62" s="188"/>
      <c r="L62" s="188"/>
      <c r="M62" s="188"/>
      <c r="N62" s="188"/>
      <c r="O62" s="188"/>
      <c r="P62" s="188"/>
      <c r="Q62" s="191" t="s">
        <v>537</v>
      </c>
      <c r="R62" s="101"/>
      <c r="S62" s="188" t="s">
        <v>537</v>
      </c>
      <c r="T62" s="153"/>
      <c r="U62" s="154"/>
    </row>
    <row r="63" spans="1:21" s="195" customFormat="1" ht="49.5" x14ac:dyDescent="0.25">
      <c r="A63" s="80" t="s">
        <v>393</v>
      </c>
      <c r="B63" s="70" t="s">
        <v>97</v>
      </c>
      <c r="C63" s="69" t="s">
        <v>138</v>
      </c>
      <c r="D63" s="70" t="s">
        <v>889</v>
      </c>
      <c r="E63" s="69" t="s">
        <v>853</v>
      </c>
      <c r="F63" s="81" t="s">
        <v>169</v>
      </c>
      <c r="G63" s="81" t="s">
        <v>116</v>
      </c>
      <c r="H63" s="188"/>
      <c r="I63" s="188"/>
      <c r="J63" s="188" t="s">
        <v>537</v>
      </c>
      <c r="K63" s="188" t="s">
        <v>537</v>
      </c>
      <c r="L63" s="188" t="s">
        <v>537</v>
      </c>
      <c r="M63" s="188" t="s">
        <v>537</v>
      </c>
      <c r="N63" s="188" t="s">
        <v>537</v>
      </c>
      <c r="O63" s="188" t="s">
        <v>537</v>
      </c>
      <c r="P63" s="188" t="s">
        <v>537</v>
      </c>
      <c r="Q63" s="191" t="s">
        <v>537</v>
      </c>
      <c r="R63" s="192"/>
      <c r="S63" s="188" t="s">
        <v>537</v>
      </c>
      <c r="T63" s="193"/>
      <c r="U63" s="194"/>
    </row>
    <row r="64" spans="1:21" s="162" customFormat="1" ht="49.5" x14ac:dyDescent="0.25">
      <c r="A64" s="196" t="s">
        <v>606</v>
      </c>
      <c r="B64" s="158" t="s">
        <v>603</v>
      </c>
      <c r="C64" s="175" t="s">
        <v>605</v>
      </c>
      <c r="D64" s="155" t="s">
        <v>814</v>
      </c>
      <c r="E64" s="156"/>
      <c r="F64" s="157" t="s">
        <v>395</v>
      </c>
      <c r="G64" s="142"/>
      <c r="H64" s="157"/>
      <c r="I64" s="157"/>
      <c r="J64" s="157"/>
      <c r="K64" s="157"/>
      <c r="L64" s="157"/>
      <c r="M64" s="157"/>
      <c r="N64" s="157"/>
      <c r="O64" s="157"/>
      <c r="P64" s="157"/>
      <c r="Q64" s="157"/>
      <c r="R64" s="157"/>
      <c r="S64" s="158"/>
      <c r="T64" s="158"/>
      <c r="U64" s="159"/>
    </row>
  </sheetData>
  <mergeCells count="3">
    <mergeCell ref="A1:I1"/>
    <mergeCell ref="J1:U2"/>
    <mergeCell ref="A2:E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U5"/>
  <sheetViews>
    <sheetView showGridLines="0" zoomScale="80" zoomScaleNormal="80" workbookViewId="0">
      <selection activeCell="F11" sqref="F11"/>
    </sheetView>
  </sheetViews>
  <sheetFormatPr defaultColWidth="8.7109375" defaultRowHeight="16.5" x14ac:dyDescent="0.25"/>
  <cols>
    <col min="1" max="1" width="17" style="160" customWidth="1"/>
    <col min="2" max="2" width="20.5703125" style="160" customWidth="1"/>
    <col min="3" max="3" width="31.5703125" style="147" customWidth="1"/>
    <col min="4" max="4" width="50.42578125" style="147" bestFit="1" customWidth="1"/>
    <col min="5" max="5" width="30" style="147" customWidth="1"/>
    <col min="6" max="6" width="17.5703125" style="147" customWidth="1"/>
    <col min="7" max="7" width="18.42578125" style="147" customWidth="1"/>
    <col min="8" max="8" width="11.5703125" style="147" customWidth="1"/>
    <col min="9" max="9" width="20" style="147" customWidth="1"/>
    <col min="10" max="10" width="7.85546875" style="147" customWidth="1"/>
    <col min="11" max="11" width="20.5703125" style="147" bestFit="1" customWidth="1"/>
    <col min="12" max="12" width="14.7109375" style="147" bestFit="1" customWidth="1"/>
    <col min="13" max="13" width="16.140625" style="147" bestFit="1" customWidth="1"/>
    <col min="14" max="14" width="11" style="147" bestFit="1" customWidth="1"/>
    <col min="15" max="15" width="8.7109375" style="147"/>
    <col min="16" max="16" width="12" style="147" customWidth="1"/>
    <col min="17" max="17" width="19.140625" style="147" bestFit="1" customWidth="1"/>
    <col min="18" max="18" width="22.140625" style="147" bestFit="1" customWidth="1"/>
    <col min="19" max="19" width="15.85546875" style="147" customWidth="1"/>
    <col min="20" max="20" width="18.5703125" style="147" customWidth="1"/>
    <col min="21" max="21" width="21.5703125" style="147" customWidth="1"/>
    <col min="22" max="16384" width="8.7109375" style="147"/>
  </cols>
  <sheetData>
    <row r="1" spans="1:21" ht="54.75" customHeight="1" x14ac:dyDescent="0.25">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21.75" customHeight="1" x14ac:dyDescent="0.25">
      <c r="A2" s="248" t="str">
        <f>Homepage!A2</f>
        <v>Environment: https://ngw-stage.lighthouselabs.io/de/mofa.html</v>
      </c>
      <c r="B2" s="249"/>
      <c r="C2" s="249"/>
      <c r="D2" s="249"/>
      <c r="E2" s="249"/>
      <c r="F2" s="137"/>
      <c r="G2" s="137"/>
      <c r="H2" s="136"/>
      <c r="I2" s="136"/>
      <c r="J2" s="252"/>
      <c r="K2" s="252"/>
      <c r="L2" s="252"/>
      <c r="M2" s="252"/>
      <c r="N2" s="252"/>
      <c r="O2" s="252"/>
      <c r="P2" s="252"/>
      <c r="Q2" s="252"/>
      <c r="R2" s="252"/>
      <c r="S2" s="252"/>
      <c r="T2" s="252"/>
      <c r="U2" s="253"/>
    </row>
    <row r="3" spans="1:21" ht="45" customHeight="1" x14ac:dyDescent="0.25">
      <c r="A3" s="130" t="s">
        <v>105</v>
      </c>
      <c r="B3" s="131" t="s">
        <v>106</v>
      </c>
      <c r="C3" s="131" t="s">
        <v>107</v>
      </c>
      <c r="D3" s="131" t="s">
        <v>625</v>
      </c>
      <c r="E3" s="131" t="s">
        <v>626</v>
      </c>
      <c r="F3" s="131" t="s">
        <v>108</v>
      </c>
      <c r="G3" s="131" t="s">
        <v>109</v>
      </c>
      <c r="H3" s="131" t="s">
        <v>468</v>
      </c>
      <c r="I3" s="142" t="s">
        <v>627</v>
      </c>
      <c r="J3" s="142" t="s">
        <v>628</v>
      </c>
      <c r="K3" s="143" t="s">
        <v>692</v>
      </c>
      <c r="L3" s="143" t="s">
        <v>693</v>
      </c>
      <c r="M3" s="143" t="s">
        <v>699</v>
      </c>
      <c r="N3" s="143" t="s">
        <v>696</v>
      </c>
      <c r="O3" s="143" t="s">
        <v>694</v>
      </c>
      <c r="P3" s="143" t="s">
        <v>695</v>
      </c>
      <c r="Q3" s="143" t="s">
        <v>697</v>
      </c>
      <c r="R3" s="143" t="s">
        <v>698</v>
      </c>
      <c r="S3" s="143" t="s">
        <v>629</v>
      </c>
      <c r="T3" s="144" t="s">
        <v>110</v>
      </c>
      <c r="U3" s="145" t="s">
        <v>111</v>
      </c>
    </row>
    <row r="4" spans="1:21" ht="99.75" customHeight="1" x14ac:dyDescent="0.25">
      <c r="A4" s="175" t="s">
        <v>394</v>
      </c>
      <c r="B4" s="158" t="s">
        <v>99</v>
      </c>
      <c r="C4" s="175" t="s">
        <v>206</v>
      </c>
      <c r="D4" s="158" t="s">
        <v>830</v>
      </c>
      <c r="E4" s="158" t="s">
        <v>831</v>
      </c>
      <c r="F4" s="157" t="s">
        <v>521</v>
      </c>
      <c r="G4" s="157"/>
      <c r="H4" s="74"/>
      <c r="I4" s="74"/>
      <c r="J4" s="74"/>
      <c r="K4" s="74"/>
      <c r="L4" s="74"/>
      <c r="M4" s="74"/>
      <c r="N4" s="74"/>
      <c r="O4" s="74"/>
      <c r="P4" s="74"/>
      <c r="Q4" s="74"/>
      <c r="R4" s="74"/>
      <c r="S4" s="158"/>
      <c r="T4" s="158"/>
      <c r="U4" s="159"/>
    </row>
    <row r="5" spans="1:21" x14ac:dyDescent="0.25">
      <c r="A5" s="182"/>
      <c r="B5" s="183"/>
      <c r="C5" s="182"/>
      <c r="D5" s="183"/>
      <c r="E5" s="184"/>
      <c r="F5" s="185"/>
      <c r="G5" s="186"/>
      <c r="H5" s="187"/>
      <c r="I5" s="187"/>
      <c r="J5" s="187"/>
      <c r="K5" s="187"/>
      <c r="L5" s="187"/>
      <c r="M5" s="187"/>
      <c r="N5" s="187"/>
      <c r="O5" s="187"/>
      <c r="P5" s="187"/>
      <c r="Q5" s="187"/>
      <c r="R5" s="187"/>
    </row>
  </sheetData>
  <mergeCells count="3">
    <mergeCell ref="A1:I1"/>
    <mergeCell ref="J1:U2"/>
    <mergeCell ref="A2:E2"/>
  </mergeCells>
  <pageMargins left="0.7" right="0.7" top="0.78740157499999996" bottom="0.78740157499999996"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V7"/>
  <sheetViews>
    <sheetView showGridLines="0" zoomScale="80" zoomScaleNormal="80" workbookViewId="0">
      <selection activeCell="A2" sqref="A2:E2"/>
    </sheetView>
  </sheetViews>
  <sheetFormatPr defaultColWidth="8.7109375" defaultRowHeight="16.5" x14ac:dyDescent="0.25"/>
  <cols>
    <col min="1" max="1" width="17" style="160" customWidth="1"/>
    <col min="2" max="2" width="20.5703125" style="160" customWidth="1"/>
    <col min="3" max="3" width="31.5703125" style="147" customWidth="1"/>
    <col min="4" max="4" width="50.42578125" style="147" bestFit="1" customWidth="1"/>
    <col min="5" max="5" width="30" style="147" customWidth="1"/>
    <col min="6" max="6" width="17.5703125" style="147" customWidth="1"/>
    <col min="7" max="7" width="18.42578125" style="147" customWidth="1"/>
    <col min="8" max="8" width="11.5703125" style="147" customWidth="1"/>
    <col min="9" max="9" width="20" style="147" customWidth="1"/>
    <col min="10" max="10" width="7.85546875" style="147" customWidth="1"/>
    <col min="11" max="11" width="15.42578125" style="147" bestFit="1" customWidth="1"/>
    <col min="12" max="12" width="14.28515625" style="147" bestFit="1" customWidth="1"/>
    <col min="13" max="13" width="11.140625" style="147" bestFit="1" customWidth="1"/>
    <col min="14" max="14" width="28.140625" style="147" bestFit="1" customWidth="1"/>
    <col min="15" max="15" width="25.85546875" style="147" bestFit="1" customWidth="1"/>
    <col min="16" max="16" width="23.5703125" style="147" bestFit="1" customWidth="1"/>
    <col min="17" max="17" width="14.5703125" style="147" bestFit="1" customWidth="1"/>
    <col min="18" max="18" width="19.140625" style="147" bestFit="1" customWidth="1"/>
    <col min="19" max="19" width="15.85546875" style="147" customWidth="1"/>
    <col min="20" max="20" width="18.5703125" style="147" customWidth="1"/>
    <col min="21" max="21" width="21.5703125" style="147" customWidth="1"/>
    <col min="22" max="16384" width="8.7109375" style="147"/>
  </cols>
  <sheetData>
    <row r="1" spans="1:22" ht="57.75" customHeight="1" x14ac:dyDescent="0.25">
      <c r="A1" s="247" t="str">
        <f>Homepage!A1</f>
        <v>Testexecution Product Release Version: v3.198.276.122
Date Start: 30.06.2026
Date Ende: 06.07.2026 Test</v>
      </c>
      <c r="B1" s="247"/>
      <c r="C1" s="247"/>
      <c r="D1" s="247"/>
      <c r="E1" s="247"/>
      <c r="F1" s="247"/>
      <c r="G1" s="247"/>
      <c r="H1" s="247"/>
      <c r="I1" s="247"/>
      <c r="J1" s="267"/>
      <c r="K1" s="267"/>
      <c r="L1" s="267"/>
      <c r="M1" s="267"/>
      <c r="N1" s="267"/>
      <c r="O1" s="267"/>
      <c r="P1" s="267"/>
      <c r="Q1" s="267"/>
      <c r="R1" s="267"/>
      <c r="S1" s="267"/>
      <c r="T1" s="267"/>
      <c r="U1" s="268"/>
      <c r="V1" s="180"/>
    </row>
    <row r="2" spans="1:22" ht="45" customHeight="1" x14ac:dyDescent="0.25">
      <c r="A2" s="248" t="str">
        <f>Homepage!A2</f>
        <v>Environment: https://ngw-stage.lighthouselabs.io/de/mofa.html</v>
      </c>
      <c r="B2" s="249"/>
      <c r="C2" s="249"/>
      <c r="D2" s="249"/>
      <c r="E2" s="249"/>
      <c r="F2" s="137"/>
      <c r="G2" s="137"/>
      <c r="H2" s="136"/>
      <c r="I2" s="79"/>
      <c r="J2" s="267"/>
      <c r="K2" s="267"/>
      <c r="L2" s="267"/>
      <c r="M2" s="267"/>
      <c r="N2" s="267"/>
      <c r="O2" s="267"/>
      <c r="P2" s="267"/>
      <c r="Q2" s="267"/>
      <c r="R2" s="267"/>
      <c r="S2" s="267"/>
      <c r="T2" s="267"/>
      <c r="U2" s="268"/>
      <c r="V2" s="181"/>
    </row>
    <row r="3" spans="1:22" ht="57" customHeight="1" x14ac:dyDescent="0.25">
      <c r="A3" s="130" t="s">
        <v>105</v>
      </c>
      <c r="B3" s="131" t="s">
        <v>106</v>
      </c>
      <c r="C3" s="131" t="s">
        <v>107</v>
      </c>
      <c r="D3" s="131" t="s">
        <v>625</v>
      </c>
      <c r="E3" s="131" t="s">
        <v>626</v>
      </c>
      <c r="F3" s="131" t="s">
        <v>108</v>
      </c>
      <c r="G3" s="131" t="s">
        <v>109</v>
      </c>
      <c r="H3" s="131" t="s">
        <v>468</v>
      </c>
      <c r="I3" s="142" t="s">
        <v>627</v>
      </c>
      <c r="J3" s="142" t="s">
        <v>628</v>
      </c>
      <c r="K3" s="143" t="s">
        <v>692</v>
      </c>
      <c r="L3" s="143" t="s">
        <v>693</v>
      </c>
      <c r="M3" s="143" t="s">
        <v>699</v>
      </c>
      <c r="N3" s="143" t="s">
        <v>696</v>
      </c>
      <c r="O3" s="143" t="s">
        <v>694</v>
      </c>
      <c r="P3" s="143" t="s">
        <v>695</v>
      </c>
      <c r="Q3" s="143" t="s">
        <v>697</v>
      </c>
      <c r="R3" s="143" t="s">
        <v>698</v>
      </c>
      <c r="S3" s="143" t="s">
        <v>629</v>
      </c>
      <c r="T3" s="144" t="s">
        <v>110</v>
      </c>
      <c r="U3" s="141" t="s">
        <v>111</v>
      </c>
    </row>
    <row r="4" spans="1:22" ht="61.5" customHeight="1" x14ac:dyDescent="0.25">
      <c r="A4" s="114" t="s">
        <v>523</v>
      </c>
      <c r="B4" s="116" t="s">
        <v>104</v>
      </c>
      <c r="C4" s="114" t="s">
        <v>104</v>
      </c>
      <c r="D4" s="116" t="s">
        <v>826</v>
      </c>
      <c r="E4" s="114" t="s">
        <v>104</v>
      </c>
      <c r="F4" s="84" t="s">
        <v>169</v>
      </c>
      <c r="G4" s="83" t="s">
        <v>134</v>
      </c>
      <c r="H4" s="84"/>
      <c r="I4" s="84"/>
      <c r="J4" s="84"/>
      <c r="K4" s="84"/>
      <c r="L4" s="84"/>
      <c r="M4" s="84"/>
      <c r="N4" s="84"/>
      <c r="O4" s="84"/>
      <c r="P4" s="84"/>
      <c r="Q4" s="84"/>
      <c r="R4" s="84"/>
      <c r="S4" s="153"/>
      <c r="T4" s="153"/>
      <c r="U4" s="154"/>
    </row>
    <row r="5" spans="1:22" ht="65.25" customHeight="1" x14ac:dyDescent="0.25">
      <c r="A5" s="114" t="s">
        <v>524</v>
      </c>
      <c r="B5" s="116" t="s">
        <v>104</v>
      </c>
      <c r="C5" s="114" t="s">
        <v>206</v>
      </c>
      <c r="D5" s="116" t="s">
        <v>827</v>
      </c>
      <c r="E5" s="114" t="s">
        <v>828</v>
      </c>
      <c r="F5" s="84" t="s">
        <v>169</v>
      </c>
      <c r="G5" s="83" t="s">
        <v>134</v>
      </c>
      <c r="H5" s="84"/>
      <c r="I5" s="84"/>
      <c r="J5" s="84"/>
      <c r="K5" s="84"/>
      <c r="L5" s="84"/>
      <c r="M5" s="84"/>
      <c r="N5" s="84"/>
      <c r="O5" s="84"/>
      <c r="P5" s="84"/>
      <c r="Q5" s="84"/>
      <c r="R5" s="84"/>
      <c r="S5" s="153"/>
      <c r="T5" s="153"/>
      <c r="U5" s="154"/>
    </row>
    <row r="6" spans="1:22" ht="65.25" customHeight="1" x14ac:dyDescent="0.25">
      <c r="A6" s="96" t="s">
        <v>529</v>
      </c>
      <c r="B6" s="95" t="s">
        <v>104</v>
      </c>
      <c r="C6" s="96" t="s">
        <v>206</v>
      </c>
      <c r="D6" s="96" t="s">
        <v>829</v>
      </c>
      <c r="E6" s="96" t="s">
        <v>828</v>
      </c>
      <c r="F6" s="74" t="s">
        <v>169</v>
      </c>
      <c r="G6" s="73" t="s">
        <v>134</v>
      </c>
      <c r="H6" s="74"/>
      <c r="I6" s="74"/>
      <c r="J6" s="74"/>
      <c r="K6" s="74"/>
      <c r="L6" s="74"/>
      <c r="M6" s="74"/>
      <c r="N6" s="74"/>
      <c r="O6" s="74"/>
      <c r="P6" s="74"/>
      <c r="Q6" s="74"/>
      <c r="R6" s="74"/>
      <c r="S6" s="158"/>
      <c r="T6" s="158"/>
      <c r="U6" s="159"/>
    </row>
    <row r="7" spans="1:22" ht="80.25" customHeight="1" x14ac:dyDescent="0.25">
      <c r="A7" s="182"/>
      <c r="B7" s="183"/>
      <c r="C7" s="182"/>
      <c r="D7" s="183"/>
      <c r="E7" s="184"/>
      <c r="F7" s="185"/>
      <c r="G7" s="186"/>
      <c r="H7" s="187"/>
      <c r="I7" s="187"/>
      <c r="J7" s="187"/>
      <c r="K7" s="187"/>
      <c r="L7" s="187"/>
      <c r="M7" s="187"/>
      <c r="N7" s="187"/>
      <c r="O7" s="187"/>
      <c r="P7" s="187"/>
      <c r="Q7" s="187"/>
      <c r="R7" s="187"/>
    </row>
  </sheetData>
  <mergeCells count="3">
    <mergeCell ref="A1:I1"/>
    <mergeCell ref="J1:U2"/>
    <mergeCell ref="A2:E2"/>
  </mergeCells>
  <pageMargins left="0.7" right="0.7" top="0.78740157499999996" bottom="0.78740157499999996"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9"/>
  <sheetViews>
    <sheetView zoomScale="90" zoomScaleNormal="90" workbookViewId="0">
      <selection activeCell="A2" sqref="A2:E2"/>
    </sheetView>
  </sheetViews>
  <sheetFormatPr defaultColWidth="8.7109375" defaultRowHeight="16.5" x14ac:dyDescent="0.25"/>
  <cols>
    <col min="1" max="1" width="21.28515625" style="160" customWidth="1"/>
    <col min="2" max="2" width="13.28515625" style="160" bestFit="1" customWidth="1"/>
    <col min="3" max="3" width="10.7109375" style="147" customWidth="1"/>
    <col min="4" max="4" width="73" style="147" bestFit="1" customWidth="1"/>
    <col min="5" max="5" width="20.7109375" style="160" bestFit="1" customWidth="1"/>
    <col min="6" max="6" width="20.7109375" style="161" customWidth="1"/>
    <col min="7" max="7" width="12.85546875" style="147" customWidth="1"/>
    <col min="8" max="8" width="11.7109375" style="162" customWidth="1"/>
    <col min="9" max="9" width="19.7109375" style="162" customWidth="1"/>
    <col min="10" max="10" width="7.85546875" style="162" customWidth="1"/>
    <col min="11" max="11" width="20.7109375" style="162" bestFit="1" customWidth="1"/>
    <col min="12" max="12" width="14.7109375" style="162" bestFit="1" customWidth="1"/>
    <col min="13" max="13" width="11.28515625" style="162" bestFit="1" customWidth="1"/>
    <col min="14" max="14" width="28.42578125" style="162" bestFit="1" customWidth="1"/>
    <col min="15" max="15" width="26.42578125" style="147" bestFit="1" customWidth="1"/>
    <col min="16" max="16" width="23.85546875" style="147" bestFit="1" customWidth="1"/>
    <col min="17" max="17" width="14.7109375" style="147" bestFit="1" customWidth="1"/>
    <col min="18" max="18" width="19.42578125" style="147" bestFit="1" customWidth="1"/>
    <col min="19" max="19" width="16.140625" style="147" customWidth="1"/>
    <col min="20" max="20" width="19" style="147" customWidth="1"/>
    <col min="21" max="21" width="22.42578125" style="147" customWidth="1"/>
    <col min="22" max="16384" width="8.7109375" style="147"/>
  </cols>
  <sheetData>
    <row r="1" spans="1:21" ht="54.75" customHeight="1" x14ac:dyDescent="0.25">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24" customHeight="1" x14ac:dyDescent="0.25">
      <c r="A2" s="248" t="str">
        <f>Homepage!A2</f>
        <v>Environment: https://ngw-stage.lighthouselabs.io/de/mofa.html</v>
      </c>
      <c r="B2" s="249"/>
      <c r="C2" s="249"/>
      <c r="D2" s="249"/>
      <c r="E2" s="249"/>
      <c r="F2" s="137"/>
      <c r="G2" s="77"/>
      <c r="H2" s="78"/>
      <c r="I2" s="79"/>
      <c r="J2" s="252"/>
      <c r="K2" s="252"/>
      <c r="L2" s="252"/>
      <c r="M2" s="252"/>
      <c r="N2" s="252"/>
      <c r="O2" s="252"/>
      <c r="P2" s="252"/>
      <c r="Q2" s="252"/>
      <c r="R2" s="252"/>
      <c r="S2" s="252"/>
      <c r="T2" s="252"/>
      <c r="U2" s="253"/>
    </row>
    <row r="3" spans="1:21" ht="58.5" customHeight="1" x14ac:dyDescent="0.25">
      <c r="A3" s="130" t="s">
        <v>105</v>
      </c>
      <c r="B3" s="131" t="s">
        <v>106</v>
      </c>
      <c r="C3" s="131" t="s">
        <v>107</v>
      </c>
      <c r="D3" s="131" t="s">
        <v>625</v>
      </c>
      <c r="E3" s="131" t="s">
        <v>626</v>
      </c>
      <c r="F3" s="131" t="s">
        <v>108</v>
      </c>
      <c r="G3" s="142" t="s">
        <v>109</v>
      </c>
      <c r="H3" s="142" t="s">
        <v>468</v>
      </c>
      <c r="I3" s="142" t="s">
        <v>627</v>
      </c>
      <c r="J3" s="142" t="s">
        <v>628</v>
      </c>
      <c r="K3" s="143" t="s">
        <v>692</v>
      </c>
      <c r="L3" s="143" t="s">
        <v>693</v>
      </c>
      <c r="M3" s="143" t="s">
        <v>699</v>
      </c>
      <c r="N3" s="143" t="s">
        <v>696</v>
      </c>
      <c r="O3" s="143" t="s">
        <v>694</v>
      </c>
      <c r="P3" s="143" t="s">
        <v>695</v>
      </c>
      <c r="Q3" s="143" t="s">
        <v>697</v>
      </c>
      <c r="R3" s="143" t="s">
        <v>698</v>
      </c>
      <c r="S3" s="143" t="s">
        <v>629</v>
      </c>
      <c r="T3" s="144" t="s">
        <v>110</v>
      </c>
      <c r="U3" s="145" t="s">
        <v>111</v>
      </c>
    </row>
    <row r="4" spans="1:21" ht="102" customHeight="1" x14ac:dyDescent="0.25">
      <c r="A4" s="148" t="s">
        <v>459</v>
      </c>
      <c r="B4" s="148" t="s">
        <v>460</v>
      </c>
      <c r="C4" s="149" t="s">
        <v>461</v>
      </c>
      <c r="D4" s="148" t="s">
        <v>581</v>
      </c>
      <c r="E4" s="150"/>
      <c r="F4" s="84" t="s">
        <v>395</v>
      </c>
      <c r="G4" s="84"/>
      <c r="H4" s="151"/>
      <c r="I4" s="151"/>
      <c r="J4" s="151"/>
      <c r="K4" s="151"/>
      <c r="L4" s="151"/>
      <c r="M4" s="135"/>
      <c r="N4" s="152"/>
      <c r="O4" s="135"/>
      <c r="P4" s="152"/>
      <c r="Q4" s="135"/>
      <c r="R4" s="152"/>
      <c r="S4" s="153"/>
      <c r="T4" s="153"/>
      <c r="U4" s="154"/>
    </row>
    <row r="5" spans="1:21" ht="103.5" customHeight="1" x14ac:dyDescent="0.25">
      <c r="A5" s="148" t="s">
        <v>462</v>
      </c>
      <c r="B5" s="148" t="s">
        <v>460</v>
      </c>
      <c r="C5" s="149" t="s">
        <v>463</v>
      </c>
      <c r="D5" s="148" t="s">
        <v>582</v>
      </c>
      <c r="E5" s="148"/>
      <c r="F5" s="84" t="s">
        <v>395</v>
      </c>
      <c r="G5" s="152"/>
      <c r="H5" s="152"/>
      <c r="I5" s="152"/>
      <c r="J5" s="152"/>
      <c r="K5" s="152"/>
      <c r="L5" s="152"/>
      <c r="M5" s="152"/>
      <c r="N5" s="152"/>
      <c r="O5" s="135"/>
      <c r="P5" s="152"/>
      <c r="Q5" s="135"/>
      <c r="R5" s="152"/>
      <c r="S5" s="153"/>
      <c r="T5" s="153"/>
      <c r="U5" s="154"/>
    </row>
    <row r="6" spans="1:21" ht="99.75" customHeight="1" x14ac:dyDescent="0.25">
      <c r="A6" s="148" t="s">
        <v>464</v>
      </c>
      <c r="B6" s="148" t="s">
        <v>460</v>
      </c>
      <c r="C6" s="149" t="s">
        <v>465</v>
      </c>
      <c r="D6" s="148" t="s">
        <v>583</v>
      </c>
      <c r="E6" s="148"/>
      <c r="F6" s="84" t="s">
        <v>395</v>
      </c>
      <c r="G6" s="152"/>
      <c r="H6" s="152"/>
      <c r="I6" s="152"/>
      <c r="J6" s="152"/>
      <c r="K6" s="152"/>
      <c r="L6" s="152"/>
      <c r="M6" s="152"/>
      <c r="N6" s="152"/>
      <c r="O6" s="135"/>
      <c r="P6" s="152"/>
      <c r="Q6" s="135"/>
      <c r="R6" s="152"/>
      <c r="S6" s="153"/>
      <c r="T6" s="153"/>
      <c r="U6" s="154"/>
    </row>
    <row r="7" spans="1:21" ht="115.5" customHeight="1" x14ac:dyDescent="0.25">
      <c r="A7" s="155" t="s">
        <v>466</v>
      </c>
      <c r="B7" s="155" t="s">
        <v>460</v>
      </c>
      <c r="C7" s="156" t="s">
        <v>467</v>
      </c>
      <c r="D7" s="155" t="s">
        <v>584</v>
      </c>
      <c r="E7" s="155"/>
      <c r="F7" s="74" t="s">
        <v>395</v>
      </c>
      <c r="G7" s="157"/>
      <c r="H7" s="157"/>
      <c r="I7" s="157"/>
      <c r="J7" s="157"/>
      <c r="K7" s="157"/>
      <c r="L7" s="157"/>
      <c r="M7" s="157"/>
      <c r="N7" s="157"/>
      <c r="O7" s="142"/>
      <c r="P7" s="157"/>
      <c r="Q7" s="142"/>
      <c r="R7" s="157"/>
      <c r="S7" s="158"/>
      <c r="T7" s="158"/>
      <c r="U7" s="159"/>
    </row>
    <row r="8" spans="1:21" x14ac:dyDescent="0.25">
      <c r="H8" s="160"/>
      <c r="I8" s="160"/>
      <c r="J8" s="160"/>
      <c r="K8" s="160"/>
      <c r="L8" s="160"/>
      <c r="M8" s="160"/>
      <c r="N8" s="160"/>
      <c r="O8" s="160"/>
      <c r="P8" s="160"/>
      <c r="Q8" s="160"/>
      <c r="R8" s="160"/>
      <c r="S8" s="160"/>
    </row>
    <row r="9" spans="1:21" x14ac:dyDescent="0.25">
      <c r="H9" s="160"/>
      <c r="I9" s="160"/>
      <c r="J9" s="160"/>
      <c r="K9" s="160"/>
      <c r="L9" s="160"/>
      <c r="M9" s="160"/>
      <c r="N9" s="160"/>
      <c r="O9" s="160"/>
      <c r="P9" s="160"/>
      <c r="Q9" s="160"/>
      <c r="R9" s="160"/>
      <c r="S9" s="160"/>
    </row>
    <row r="10" spans="1:21" x14ac:dyDescent="0.25">
      <c r="H10" s="160"/>
      <c r="I10" s="160"/>
      <c r="J10" s="160"/>
      <c r="K10" s="160"/>
      <c r="L10" s="160"/>
      <c r="M10" s="160"/>
      <c r="N10" s="160"/>
      <c r="O10" s="160"/>
      <c r="P10" s="160"/>
      <c r="Q10" s="160"/>
      <c r="R10" s="160"/>
    </row>
    <row r="11" spans="1:21" x14ac:dyDescent="0.25">
      <c r="H11" s="160"/>
      <c r="I11" s="160"/>
      <c r="J11" s="160"/>
      <c r="K11" s="160"/>
      <c r="L11" s="160"/>
      <c r="M11" s="160"/>
      <c r="N11" s="160"/>
      <c r="O11" s="160"/>
      <c r="P11" s="160"/>
      <c r="Q11" s="160"/>
      <c r="R11" s="160"/>
    </row>
    <row r="12" spans="1:21" x14ac:dyDescent="0.25">
      <c r="H12" s="160"/>
      <c r="I12" s="160"/>
      <c r="J12" s="160"/>
      <c r="K12" s="160"/>
      <c r="L12" s="160"/>
      <c r="M12" s="160"/>
      <c r="N12" s="160"/>
      <c r="O12" s="160"/>
      <c r="P12" s="160"/>
      <c r="Q12" s="160"/>
      <c r="R12" s="160"/>
    </row>
    <row r="13" spans="1:21" x14ac:dyDescent="0.25">
      <c r="H13" s="160"/>
      <c r="I13" s="160"/>
      <c r="J13" s="160"/>
      <c r="K13" s="160"/>
      <c r="L13" s="160"/>
      <c r="M13" s="160"/>
      <c r="N13" s="160"/>
      <c r="O13" s="160"/>
      <c r="P13" s="160"/>
      <c r="Q13" s="160"/>
      <c r="R13" s="160"/>
    </row>
    <row r="14" spans="1:21" x14ac:dyDescent="0.25">
      <c r="H14" s="160"/>
      <c r="I14" s="160"/>
      <c r="J14" s="160"/>
      <c r="K14" s="160"/>
      <c r="L14" s="160"/>
      <c r="M14" s="160"/>
      <c r="N14" s="160"/>
      <c r="O14" s="160"/>
      <c r="P14" s="160"/>
      <c r="Q14" s="160"/>
      <c r="R14" s="160"/>
    </row>
    <row r="15" spans="1:21" x14ac:dyDescent="0.25">
      <c r="H15" s="160"/>
      <c r="I15" s="160"/>
      <c r="J15" s="160"/>
      <c r="K15" s="160"/>
      <c r="L15" s="160"/>
      <c r="M15" s="160"/>
      <c r="N15" s="160"/>
      <c r="O15" s="160"/>
      <c r="P15" s="160"/>
      <c r="Q15" s="160"/>
      <c r="R15" s="160"/>
    </row>
    <row r="16" spans="1:21" x14ac:dyDescent="0.25">
      <c r="H16" s="160"/>
      <c r="I16" s="160"/>
      <c r="J16" s="160"/>
      <c r="K16" s="160"/>
      <c r="L16" s="160"/>
      <c r="M16" s="160"/>
      <c r="N16" s="160"/>
      <c r="O16" s="160"/>
      <c r="P16" s="160"/>
      <c r="Q16" s="160"/>
      <c r="R16" s="160"/>
    </row>
    <row r="17" spans="8:18" x14ac:dyDescent="0.25">
      <c r="H17" s="160"/>
      <c r="I17" s="160"/>
      <c r="J17" s="160"/>
      <c r="K17" s="160"/>
      <c r="L17" s="160"/>
      <c r="M17" s="160"/>
      <c r="N17" s="160"/>
      <c r="O17" s="160"/>
      <c r="P17" s="160"/>
      <c r="Q17" s="160"/>
      <c r="R17" s="160"/>
    </row>
    <row r="18" spans="8:18" x14ac:dyDescent="0.25">
      <c r="H18" s="160"/>
      <c r="I18" s="160"/>
      <c r="J18" s="160"/>
      <c r="K18" s="160"/>
      <c r="L18" s="160"/>
      <c r="M18" s="160"/>
      <c r="N18" s="160"/>
      <c r="O18" s="160"/>
      <c r="P18" s="160"/>
      <c r="Q18" s="160"/>
      <c r="R18" s="160"/>
    </row>
    <row r="19" spans="8:18" x14ac:dyDescent="0.25">
      <c r="H19" s="160"/>
      <c r="I19" s="160"/>
      <c r="J19" s="160"/>
      <c r="K19" s="160"/>
      <c r="L19" s="160"/>
      <c r="M19" s="160"/>
      <c r="N19" s="160"/>
      <c r="O19" s="160"/>
      <c r="P19" s="160"/>
      <c r="Q19" s="160"/>
      <c r="R19" s="160"/>
    </row>
  </sheetData>
  <mergeCells count="3">
    <mergeCell ref="A1:I1"/>
    <mergeCell ref="J1:U2"/>
    <mergeCell ref="A2:E2"/>
  </mergeCells>
  <pageMargins left="0.7" right="0.7" top="0.78740157499999996" bottom="0.78740157499999996"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7"/>
  <sheetViews>
    <sheetView zoomScale="85" zoomScaleNormal="85" workbookViewId="0">
      <selection activeCell="A2" sqref="A2:E2"/>
    </sheetView>
  </sheetViews>
  <sheetFormatPr defaultColWidth="8.7109375" defaultRowHeight="16.5" x14ac:dyDescent="0.25"/>
  <cols>
    <col min="1" max="1" width="28.7109375" style="160" customWidth="1"/>
    <col min="2" max="2" width="13" style="160" customWidth="1"/>
    <col min="3" max="3" width="25.7109375" style="147" bestFit="1" customWidth="1"/>
    <col min="4" max="4" width="45.28515625" style="147" customWidth="1"/>
    <col min="5" max="5" width="44.28515625" style="147" customWidth="1"/>
    <col min="6" max="6" width="11" style="147" customWidth="1"/>
    <col min="7" max="7" width="14.42578125" style="147" customWidth="1"/>
    <col min="8" max="8" width="11.140625" style="147" customWidth="1"/>
    <col min="9" max="9" width="19" style="147" customWidth="1"/>
    <col min="10" max="10" width="7.5703125" style="147" bestFit="1" customWidth="1"/>
    <col min="11" max="11" width="20.5703125" style="147" bestFit="1" customWidth="1"/>
    <col min="12" max="12" width="14.7109375" style="147" bestFit="1" customWidth="1"/>
    <col min="13" max="13" width="16.140625" style="147" bestFit="1" customWidth="1"/>
    <col min="14" max="14" width="19.28515625" style="147" customWidth="1"/>
    <col min="15" max="15" width="17.140625" style="147" customWidth="1"/>
    <col min="16" max="16" width="18.140625" style="147" customWidth="1"/>
    <col min="17" max="17" width="19.140625" style="147" bestFit="1" customWidth="1"/>
    <col min="18" max="18" width="22.140625" style="147" bestFit="1" customWidth="1"/>
    <col min="19" max="19" width="15.140625" style="147" customWidth="1"/>
    <col min="20" max="20" width="17.7109375" style="147" customWidth="1"/>
    <col min="21" max="21" width="20.5703125" style="147" customWidth="1"/>
    <col min="22" max="16384" width="8.7109375" style="147"/>
  </cols>
  <sheetData>
    <row r="1" spans="1:21" ht="59.25" customHeight="1" x14ac:dyDescent="0.25">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45" customHeight="1" x14ac:dyDescent="0.25">
      <c r="A2" s="248" t="str">
        <f>Homepage!A2</f>
        <v>Environment: https://ngw-stage.lighthouselabs.io/de/mofa.html</v>
      </c>
      <c r="B2" s="249"/>
      <c r="C2" s="249"/>
      <c r="D2" s="249"/>
      <c r="E2" s="249"/>
      <c r="F2" s="77"/>
      <c r="G2" s="77"/>
      <c r="H2" s="78"/>
      <c r="I2" s="79"/>
      <c r="J2" s="252"/>
      <c r="K2" s="252"/>
      <c r="L2" s="252"/>
      <c r="M2" s="252"/>
      <c r="N2" s="252"/>
      <c r="O2" s="252"/>
      <c r="P2" s="252"/>
      <c r="Q2" s="252"/>
      <c r="R2" s="252"/>
      <c r="S2" s="252"/>
      <c r="T2" s="252"/>
      <c r="U2" s="253"/>
    </row>
    <row r="3" spans="1:21" ht="67.5" customHeight="1" x14ac:dyDescent="0.25">
      <c r="A3" s="130" t="s">
        <v>105</v>
      </c>
      <c r="B3" s="131" t="s">
        <v>106</v>
      </c>
      <c r="C3" s="131" t="s">
        <v>107</v>
      </c>
      <c r="D3" s="131" t="s">
        <v>625</v>
      </c>
      <c r="E3" s="131" t="s">
        <v>626</v>
      </c>
      <c r="F3" s="142" t="s">
        <v>108</v>
      </c>
      <c r="G3" s="142" t="s">
        <v>109</v>
      </c>
      <c r="H3" s="142" t="s">
        <v>468</v>
      </c>
      <c r="I3" s="142" t="s">
        <v>627</v>
      </c>
      <c r="J3" s="142" t="s">
        <v>628</v>
      </c>
      <c r="K3" s="132" t="s">
        <v>692</v>
      </c>
      <c r="L3" s="132" t="s">
        <v>693</v>
      </c>
      <c r="M3" s="132" t="s">
        <v>699</v>
      </c>
      <c r="N3" s="132" t="s">
        <v>696</v>
      </c>
      <c r="O3" s="132" t="s">
        <v>694</v>
      </c>
      <c r="P3" s="132" t="s">
        <v>695</v>
      </c>
      <c r="Q3" s="132" t="s">
        <v>697</v>
      </c>
      <c r="R3" s="132" t="s">
        <v>698</v>
      </c>
      <c r="S3" s="132" t="s">
        <v>629</v>
      </c>
      <c r="T3" s="133" t="s">
        <v>110</v>
      </c>
      <c r="U3" s="141" t="s">
        <v>111</v>
      </c>
    </row>
    <row r="4" spans="1:21" ht="66" customHeight="1" x14ac:dyDescent="0.25">
      <c r="A4" s="69" t="s">
        <v>396</v>
      </c>
      <c r="B4" s="70" t="s">
        <v>101</v>
      </c>
      <c r="C4" s="69" t="s">
        <v>197</v>
      </c>
      <c r="D4" s="70" t="s">
        <v>815</v>
      </c>
      <c r="E4" s="69" t="s">
        <v>764</v>
      </c>
      <c r="F4" s="84" t="s">
        <v>169</v>
      </c>
      <c r="G4" s="83" t="s">
        <v>116</v>
      </c>
      <c r="H4" s="152"/>
      <c r="I4" s="152"/>
      <c r="J4" s="152"/>
      <c r="K4" s="152"/>
      <c r="L4" s="152"/>
      <c r="M4" s="152"/>
      <c r="N4" s="177"/>
      <c r="O4" s="177"/>
      <c r="P4" s="177"/>
      <c r="Q4" s="152" t="s">
        <v>537</v>
      </c>
      <c r="R4" s="152"/>
      <c r="S4" s="152" t="s">
        <v>537</v>
      </c>
      <c r="T4" s="153"/>
      <c r="U4" s="154"/>
    </row>
    <row r="5" spans="1:21" ht="98.25" customHeight="1" x14ac:dyDescent="0.25">
      <c r="A5" s="69" t="s">
        <v>397</v>
      </c>
      <c r="B5" s="70" t="s">
        <v>101</v>
      </c>
      <c r="C5" s="69" t="s">
        <v>133</v>
      </c>
      <c r="D5" s="70" t="s">
        <v>816</v>
      </c>
      <c r="E5" s="69" t="s">
        <v>817</v>
      </c>
      <c r="F5" s="84" t="s">
        <v>169</v>
      </c>
      <c r="G5" s="135" t="s">
        <v>116</v>
      </c>
      <c r="H5" s="152"/>
      <c r="I5" s="152"/>
      <c r="J5" s="152"/>
      <c r="K5" s="152"/>
      <c r="L5" s="152"/>
      <c r="M5" s="152"/>
      <c r="N5" s="152"/>
      <c r="O5" s="152"/>
      <c r="P5" s="152"/>
      <c r="Q5" s="152" t="s">
        <v>537</v>
      </c>
      <c r="R5" s="152"/>
      <c r="S5" s="152" t="s">
        <v>537</v>
      </c>
      <c r="T5" s="153"/>
      <c r="U5" s="154"/>
    </row>
    <row r="6" spans="1:21" ht="75" customHeight="1" x14ac:dyDescent="0.25">
      <c r="A6" s="69" t="s">
        <v>398</v>
      </c>
      <c r="B6" s="70" t="s">
        <v>101</v>
      </c>
      <c r="C6" s="69" t="s">
        <v>200</v>
      </c>
      <c r="D6" s="70" t="s">
        <v>818</v>
      </c>
      <c r="E6" s="69" t="s">
        <v>819</v>
      </c>
      <c r="F6" s="84" t="s">
        <v>169</v>
      </c>
      <c r="G6" s="83" t="s">
        <v>116</v>
      </c>
      <c r="H6" s="152"/>
      <c r="I6" s="152"/>
      <c r="J6" s="152"/>
      <c r="K6" s="152"/>
      <c r="L6" s="152"/>
      <c r="M6" s="152"/>
      <c r="N6" s="152"/>
      <c r="O6" s="152"/>
      <c r="P6" s="152"/>
      <c r="Q6" s="152" t="s">
        <v>537</v>
      </c>
      <c r="R6" s="152"/>
      <c r="S6" s="152" t="s">
        <v>537</v>
      </c>
      <c r="T6" s="153"/>
      <c r="U6" s="154"/>
    </row>
    <row r="7" spans="1:21" ht="73.5" customHeight="1" x14ac:dyDescent="0.25">
      <c r="A7" s="69" t="s">
        <v>399</v>
      </c>
      <c r="B7" s="70" t="s">
        <v>101</v>
      </c>
      <c r="C7" s="69" t="s">
        <v>197</v>
      </c>
      <c r="D7" s="70" t="s">
        <v>820</v>
      </c>
      <c r="E7" s="69" t="s">
        <v>764</v>
      </c>
      <c r="F7" s="84" t="s">
        <v>169</v>
      </c>
      <c r="G7" s="83" t="s">
        <v>116</v>
      </c>
      <c r="H7" s="152"/>
      <c r="I7" s="152"/>
      <c r="J7" s="152"/>
      <c r="K7" s="152"/>
      <c r="L7" s="152"/>
      <c r="M7" s="152"/>
      <c r="N7" s="152"/>
      <c r="O7" s="152"/>
      <c r="P7" s="152"/>
      <c r="Q7" s="152" t="s">
        <v>537</v>
      </c>
      <c r="R7" s="152"/>
      <c r="S7" s="152" t="s">
        <v>537</v>
      </c>
      <c r="T7" s="153"/>
      <c r="U7" s="154"/>
    </row>
    <row r="8" spans="1:21" ht="80.25" customHeight="1" x14ac:dyDescent="0.25">
      <c r="A8" s="69" t="s">
        <v>400</v>
      </c>
      <c r="B8" s="70" t="s">
        <v>101</v>
      </c>
      <c r="C8" s="69" t="s">
        <v>133</v>
      </c>
      <c r="D8" s="70" t="s">
        <v>821</v>
      </c>
      <c r="E8" s="69" t="s">
        <v>817</v>
      </c>
      <c r="F8" s="84" t="s">
        <v>169</v>
      </c>
      <c r="G8" s="135" t="s">
        <v>116</v>
      </c>
      <c r="H8" s="152"/>
      <c r="I8" s="152"/>
      <c r="J8" s="152"/>
      <c r="K8" s="152"/>
      <c r="L8" s="152"/>
      <c r="M8" s="152"/>
      <c r="N8" s="152"/>
      <c r="O8" s="152"/>
      <c r="P8" s="152"/>
      <c r="Q8" s="152" t="s">
        <v>537</v>
      </c>
      <c r="R8" s="152"/>
      <c r="S8" s="152" t="s">
        <v>537</v>
      </c>
      <c r="T8" s="153"/>
      <c r="U8" s="154"/>
    </row>
    <row r="9" spans="1:21" ht="81.75" customHeight="1" x14ac:dyDescent="0.25">
      <c r="A9" s="69" t="s">
        <v>401</v>
      </c>
      <c r="B9" s="70" t="s">
        <v>101</v>
      </c>
      <c r="C9" s="69" t="s">
        <v>200</v>
      </c>
      <c r="D9" s="70" t="s">
        <v>822</v>
      </c>
      <c r="E9" s="69" t="s">
        <v>819</v>
      </c>
      <c r="F9" s="84" t="s">
        <v>169</v>
      </c>
      <c r="G9" s="83" t="s">
        <v>116</v>
      </c>
      <c r="H9" s="152"/>
      <c r="I9" s="152"/>
      <c r="J9" s="152"/>
      <c r="K9" s="152"/>
      <c r="L9" s="152"/>
      <c r="M9" s="152"/>
      <c r="N9" s="152"/>
      <c r="O9" s="152"/>
      <c r="P9" s="152"/>
      <c r="Q9" s="152" t="s">
        <v>537</v>
      </c>
      <c r="R9" s="152"/>
      <c r="S9" s="152" t="s">
        <v>537</v>
      </c>
      <c r="T9" s="153"/>
      <c r="U9" s="154"/>
    </row>
    <row r="10" spans="1:21" ht="96" customHeight="1" x14ac:dyDescent="0.25">
      <c r="A10" s="69" t="s">
        <v>402</v>
      </c>
      <c r="B10" s="70" t="s">
        <v>101</v>
      </c>
      <c r="C10" s="69" t="s">
        <v>197</v>
      </c>
      <c r="D10" s="70" t="s">
        <v>823</v>
      </c>
      <c r="E10" s="69" t="s">
        <v>764</v>
      </c>
      <c r="F10" s="84" t="s">
        <v>169</v>
      </c>
      <c r="G10" s="83" t="s">
        <v>116</v>
      </c>
      <c r="H10" s="152"/>
      <c r="I10" s="152"/>
      <c r="J10" s="152"/>
      <c r="K10" s="152"/>
      <c r="L10" s="152"/>
      <c r="M10" s="152"/>
      <c r="N10" s="152"/>
      <c r="O10" s="152"/>
      <c r="P10" s="152"/>
      <c r="Q10" s="152" t="s">
        <v>537</v>
      </c>
      <c r="R10" s="152"/>
      <c r="S10" s="152" t="s">
        <v>537</v>
      </c>
      <c r="T10" s="153"/>
      <c r="U10" s="154"/>
    </row>
    <row r="11" spans="1:21" ht="96" customHeight="1" x14ac:dyDescent="0.25">
      <c r="A11" s="69" t="s">
        <v>403</v>
      </c>
      <c r="B11" s="70" t="s">
        <v>101</v>
      </c>
      <c r="C11" s="69" t="s">
        <v>133</v>
      </c>
      <c r="D11" s="70" t="s">
        <v>824</v>
      </c>
      <c r="E11" s="69" t="s">
        <v>817</v>
      </c>
      <c r="F11" s="84" t="s">
        <v>169</v>
      </c>
      <c r="G11" s="135" t="s">
        <v>116</v>
      </c>
      <c r="H11" s="152"/>
      <c r="I11" s="152"/>
      <c r="J11" s="152"/>
      <c r="K11" s="152"/>
      <c r="L11" s="152"/>
      <c r="M11" s="152"/>
      <c r="N11" s="152"/>
      <c r="O11" s="152"/>
      <c r="P11" s="152"/>
      <c r="Q11" s="152" t="s">
        <v>537</v>
      </c>
      <c r="R11" s="152"/>
      <c r="S11" s="152" t="s">
        <v>537</v>
      </c>
      <c r="T11" s="153"/>
      <c r="U11" s="154"/>
    </row>
    <row r="12" spans="1:21" ht="96" customHeight="1" x14ac:dyDescent="0.25">
      <c r="A12" s="69" t="s">
        <v>404</v>
      </c>
      <c r="B12" s="70" t="s">
        <v>101</v>
      </c>
      <c r="C12" s="69" t="s">
        <v>200</v>
      </c>
      <c r="D12" s="70" t="s">
        <v>825</v>
      </c>
      <c r="E12" s="69" t="s">
        <v>819</v>
      </c>
      <c r="F12" s="84" t="s">
        <v>169</v>
      </c>
      <c r="G12" s="83" t="s">
        <v>116</v>
      </c>
      <c r="H12" s="152"/>
      <c r="I12" s="152"/>
      <c r="J12" s="152"/>
      <c r="K12" s="152"/>
      <c r="L12" s="152"/>
      <c r="M12" s="152"/>
      <c r="N12" s="152"/>
      <c r="O12" s="152"/>
      <c r="P12" s="152"/>
      <c r="Q12" s="152" t="s">
        <v>537</v>
      </c>
      <c r="R12" s="152"/>
      <c r="S12" s="152" t="s">
        <v>537</v>
      </c>
      <c r="T12" s="153"/>
      <c r="U12" s="154"/>
    </row>
    <row r="13" spans="1:21" ht="96" customHeight="1" x14ac:dyDescent="0.25">
      <c r="A13" s="175" t="s">
        <v>604</v>
      </c>
      <c r="B13" s="158" t="s">
        <v>605</v>
      </c>
      <c r="C13" s="175" t="s">
        <v>605</v>
      </c>
      <c r="D13" s="155" t="s">
        <v>814</v>
      </c>
      <c r="E13" s="175"/>
      <c r="F13" s="157" t="s">
        <v>395</v>
      </c>
      <c r="G13" s="142"/>
      <c r="H13" s="157"/>
      <c r="I13" s="157"/>
      <c r="J13" s="157"/>
      <c r="K13" s="157"/>
      <c r="L13" s="157"/>
      <c r="M13" s="157"/>
      <c r="N13" s="157"/>
      <c r="O13" s="157"/>
      <c r="P13" s="157"/>
      <c r="Q13" s="178"/>
      <c r="R13" s="178"/>
      <c r="S13" s="158"/>
      <c r="T13" s="158"/>
      <c r="U13" s="159"/>
    </row>
    <row r="14" spans="1:21" x14ac:dyDescent="0.25">
      <c r="A14" s="179"/>
    </row>
    <row r="15" spans="1:21" x14ac:dyDescent="0.25">
      <c r="A15" s="179"/>
    </row>
    <row r="16" spans="1:21" x14ac:dyDescent="0.25">
      <c r="A16" s="179"/>
    </row>
    <row r="17" spans="1:1" x14ac:dyDescent="0.25">
      <c r="A17" s="179"/>
    </row>
  </sheetData>
  <mergeCells count="3">
    <mergeCell ref="A1:I1"/>
    <mergeCell ref="J1:U2"/>
    <mergeCell ref="A2:E2"/>
  </mergeCells>
  <pageMargins left="0.7" right="0.7" top="0.78740157499999996" bottom="0.78740157499999996"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tabColor theme="9" tint="0.79998168889431442"/>
  </sheetPr>
  <dimension ref="A1:U36"/>
  <sheetViews>
    <sheetView showGridLines="0" topLeftCell="A4" zoomScale="80" zoomScaleNormal="80" workbookViewId="0">
      <selection activeCell="E8" sqref="E8"/>
    </sheetView>
  </sheetViews>
  <sheetFormatPr defaultColWidth="8.7109375" defaultRowHeight="16.5" x14ac:dyDescent="0.25"/>
  <cols>
    <col min="1" max="1" width="20" style="176" customWidth="1"/>
    <col min="2" max="2" width="17.5703125" style="176" customWidth="1"/>
    <col min="3" max="3" width="20.7109375" style="162" customWidth="1"/>
    <col min="4" max="4" width="46.5703125" style="162" customWidth="1"/>
    <col min="5" max="5" width="25.42578125" style="176" customWidth="1"/>
    <col min="6" max="6" width="18.42578125" style="176" customWidth="1"/>
    <col min="7" max="7" width="28" style="176" customWidth="1"/>
    <col min="8" max="8" width="11.5703125" style="162" customWidth="1"/>
    <col min="9" max="9" width="19.85546875" style="162" customWidth="1"/>
    <col min="10" max="10" width="7.85546875" style="162" customWidth="1"/>
    <col min="11" max="11" width="20.5703125" style="162" bestFit="1" customWidth="1"/>
    <col min="12" max="12" width="14.7109375" style="162" bestFit="1" customWidth="1"/>
    <col min="13" max="13" width="16.140625" style="162" bestFit="1" customWidth="1"/>
    <col min="14" max="14" width="21.140625" style="162" customWidth="1"/>
    <col min="15" max="15" width="17.5703125" style="147" customWidth="1"/>
    <col min="16" max="16" width="19.7109375" style="147" bestFit="1" customWidth="1"/>
    <col min="17" max="17" width="19.140625" style="147" bestFit="1" customWidth="1"/>
    <col min="18" max="18" width="22.140625" style="147" bestFit="1" customWidth="1"/>
    <col min="19" max="19" width="15.85546875" style="147" customWidth="1"/>
    <col min="20" max="20" width="18.42578125" style="147" customWidth="1"/>
    <col min="21" max="21" width="21.7109375" style="147" customWidth="1"/>
    <col min="22" max="16384" width="8.7109375" style="147"/>
  </cols>
  <sheetData>
    <row r="1" spans="1:21" ht="59.25" customHeight="1" x14ac:dyDescent="0.25">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45" customHeight="1" x14ac:dyDescent="0.25">
      <c r="A2" s="248" t="str">
        <f>Homepage!A2</f>
        <v>Environment: https://ngw-stage.lighthouselabs.io/de/mofa.html</v>
      </c>
      <c r="B2" s="249"/>
      <c r="C2" s="249"/>
      <c r="D2" s="249"/>
      <c r="E2" s="249"/>
      <c r="F2" s="137"/>
      <c r="G2" s="137"/>
      <c r="H2" s="136"/>
      <c r="I2" s="79"/>
      <c r="J2" s="252"/>
      <c r="K2" s="252"/>
      <c r="L2" s="252"/>
      <c r="M2" s="252"/>
      <c r="N2" s="252"/>
      <c r="O2" s="252"/>
      <c r="P2" s="252"/>
      <c r="Q2" s="252"/>
      <c r="R2" s="252"/>
      <c r="S2" s="252"/>
      <c r="T2" s="252"/>
      <c r="U2" s="253"/>
    </row>
    <row r="3" spans="1:21" ht="66.75" customHeight="1" x14ac:dyDescent="0.25">
      <c r="A3" s="146" t="s">
        <v>105</v>
      </c>
      <c r="B3" s="142" t="s">
        <v>106</v>
      </c>
      <c r="C3" s="142" t="s">
        <v>107</v>
      </c>
      <c r="D3" s="142" t="s">
        <v>625</v>
      </c>
      <c r="E3" s="142" t="s">
        <v>626</v>
      </c>
      <c r="F3" s="131" t="s">
        <v>108</v>
      </c>
      <c r="G3" s="131" t="s">
        <v>109</v>
      </c>
      <c r="H3" s="131" t="s">
        <v>468</v>
      </c>
      <c r="I3" s="142" t="s">
        <v>627</v>
      </c>
      <c r="J3" s="142" t="s">
        <v>628</v>
      </c>
      <c r="K3" s="143" t="s">
        <v>692</v>
      </c>
      <c r="L3" s="143" t="s">
        <v>693</v>
      </c>
      <c r="M3" s="143" t="s">
        <v>699</v>
      </c>
      <c r="N3" s="143" t="s">
        <v>696</v>
      </c>
      <c r="O3" s="143" t="s">
        <v>694</v>
      </c>
      <c r="P3" s="143" t="s">
        <v>695</v>
      </c>
      <c r="Q3" s="143" t="s">
        <v>697</v>
      </c>
      <c r="R3" s="143" t="s">
        <v>698</v>
      </c>
      <c r="S3" s="143" t="s">
        <v>629</v>
      </c>
      <c r="T3" s="144" t="s">
        <v>110</v>
      </c>
      <c r="U3" s="145" t="s">
        <v>111</v>
      </c>
    </row>
    <row r="4" spans="1:21" ht="45.75" customHeight="1" x14ac:dyDescent="0.25">
      <c r="A4" s="163" t="s">
        <v>405</v>
      </c>
      <c r="B4" s="148" t="s">
        <v>406</v>
      </c>
      <c r="C4" s="149" t="s">
        <v>407</v>
      </c>
      <c r="D4" s="148" t="s">
        <v>784</v>
      </c>
      <c r="E4" s="164"/>
      <c r="F4" s="84" t="s">
        <v>169</v>
      </c>
      <c r="G4" s="84" t="s">
        <v>240</v>
      </c>
      <c r="H4" s="84"/>
      <c r="I4" s="84"/>
      <c r="J4" s="84"/>
      <c r="K4" s="84" t="s">
        <v>537</v>
      </c>
      <c r="L4" s="84" t="s">
        <v>537</v>
      </c>
      <c r="M4" s="84"/>
      <c r="N4" s="84"/>
      <c r="O4" s="84" t="s">
        <v>537</v>
      </c>
      <c r="P4" s="84" t="s">
        <v>537</v>
      </c>
      <c r="Q4" s="84" t="s">
        <v>537</v>
      </c>
      <c r="R4" s="70"/>
      <c r="S4" s="84" t="s">
        <v>537</v>
      </c>
      <c r="T4" s="153"/>
      <c r="U4" s="154"/>
    </row>
    <row r="5" spans="1:21" ht="66" customHeight="1" x14ac:dyDescent="0.25">
      <c r="A5" s="163" t="s">
        <v>408</v>
      </c>
      <c r="B5" s="148" t="s">
        <v>406</v>
      </c>
      <c r="C5" s="149" t="s">
        <v>407</v>
      </c>
      <c r="D5" s="148" t="s">
        <v>785</v>
      </c>
      <c r="E5" s="84"/>
      <c r="F5" s="84" t="s">
        <v>395</v>
      </c>
      <c r="G5" s="84"/>
      <c r="H5" s="84"/>
      <c r="I5" s="84"/>
      <c r="J5" s="84"/>
      <c r="K5" s="84"/>
      <c r="L5" s="84"/>
      <c r="M5" s="84"/>
      <c r="N5" s="84"/>
      <c r="O5" s="84"/>
      <c r="P5" s="84"/>
      <c r="Q5" s="83"/>
      <c r="R5" s="70"/>
      <c r="S5" s="153"/>
      <c r="T5" s="153"/>
      <c r="U5" s="154"/>
    </row>
    <row r="6" spans="1:21" ht="49.5" x14ac:dyDescent="0.25">
      <c r="A6" s="163" t="s">
        <v>409</v>
      </c>
      <c r="B6" s="148" t="s">
        <v>406</v>
      </c>
      <c r="C6" s="149" t="s">
        <v>410</v>
      </c>
      <c r="D6" s="148" t="s">
        <v>786</v>
      </c>
      <c r="E6" s="164"/>
      <c r="F6" s="84" t="s">
        <v>169</v>
      </c>
      <c r="G6" s="84" t="s">
        <v>116</v>
      </c>
      <c r="H6" s="84"/>
      <c r="I6" s="84"/>
      <c r="J6" s="84"/>
      <c r="K6" s="84" t="s">
        <v>537</v>
      </c>
      <c r="L6" s="84" t="s">
        <v>537</v>
      </c>
      <c r="M6" s="84"/>
      <c r="N6" s="84"/>
      <c r="O6" s="84" t="s">
        <v>537</v>
      </c>
      <c r="P6" s="84" t="s">
        <v>537</v>
      </c>
      <c r="Q6" s="84" t="s">
        <v>537</v>
      </c>
      <c r="R6" s="70"/>
      <c r="S6" s="84" t="s">
        <v>537</v>
      </c>
      <c r="T6" s="153"/>
      <c r="U6" s="154"/>
    </row>
    <row r="7" spans="1:21" ht="66" x14ac:dyDescent="0.25">
      <c r="A7" s="163" t="s">
        <v>411</v>
      </c>
      <c r="B7" s="148" t="s">
        <v>406</v>
      </c>
      <c r="C7" s="149" t="s">
        <v>410</v>
      </c>
      <c r="D7" s="148" t="s">
        <v>787</v>
      </c>
      <c r="E7" s="84"/>
      <c r="F7" s="84" t="s">
        <v>395</v>
      </c>
      <c r="G7" s="84"/>
      <c r="H7" s="84"/>
      <c r="I7" s="84"/>
      <c r="J7" s="84"/>
      <c r="K7" s="84"/>
      <c r="L7" s="84"/>
      <c r="M7" s="84"/>
      <c r="N7" s="84"/>
      <c r="O7" s="84"/>
      <c r="P7" s="84"/>
      <c r="Q7" s="83"/>
      <c r="R7" s="70"/>
      <c r="S7" s="153"/>
      <c r="T7" s="153"/>
      <c r="U7" s="154"/>
    </row>
    <row r="8" spans="1:21" ht="49.5" x14ac:dyDescent="0.25">
      <c r="A8" s="163" t="s">
        <v>412</v>
      </c>
      <c r="B8" s="148" t="s">
        <v>406</v>
      </c>
      <c r="C8" s="149" t="s">
        <v>413</v>
      </c>
      <c r="D8" s="165" t="s">
        <v>788</v>
      </c>
      <c r="E8" s="164"/>
      <c r="F8" s="84" t="s">
        <v>169</v>
      </c>
      <c r="G8" s="84" t="s">
        <v>116</v>
      </c>
      <c r="H8" s="84"/>
      <c r="I8" s="84"/>
      <c r="J8" s="84"/>
      <c r="K8" s="84" t="s">
        <v>537</v>
      </c>
      <c r="L8" s="84" t="s">
        <v>537</v>
      </c>
      <c r="M8" s="84"/>
      <c r="N8" s="84"/>
      <c r="O8" s="84" t="s">
        <v>537</v>
      </c>
      <c r="P8" s="84" t="s">
        <v>537</v>
      </c>
      <c r="Q8" s="84" t="s">
        <v>537</v>
      </c>
      <c r="R8" s="70"/>
      <c r="S8" s="84" t="s">
        <v>537</v>
      </c>
      <c r="T8" s="153"/>
      <c r="U8" s="154"/>
    </row>
    <row r="9" spans="1:21" ht="63.6" customHeight="1" x14ac:dyDescent="0.25">
      <c r="A9" s="163" t="s">
        <v>414</v>
      </c>
      <c r="B9" s="148" t="s">
        <v>406</v>
      </c>
      <c r="C9" s="149" t="s">
        <v>413</v>
      </c>
      <c r="D9" s="165" t="s">
        <v>789</v>
      </c>
      <c r="E9" s="84"/>
      <c r="F9" s="84" t="s">
        <v>395</v>
      </c>
      <c r="G9" s="84"/>
      <c r="H9" s="84"/>
      <c r="I9" s="84"/>
      <c r="J9" s="84"/>
      <c r="K9" s="84"/>
      <c r="L9" s="84"/>
      <c r="M9" s="84"/>
      <c r="N9" s="84"/>
      <c r="O9" s="84"/>
      <c r="P9" s="84"/>
      <c r="Q9" s="83"/>
      <c r="R9" s="70"/>
      <c r="S9" s="153"/>
      <c r="T9" s="153"/>
      <c r="U9" s="154"/>
    </row>
    <row r="10" spans="1:21" ht="33" x14ac:dyDescent="0.25">
      <c r="A10" s="163" t="s">
        <v>415</v>
      </c>
      <c r="B10" s="148" t="s">
        <v>406</v>
      </c>
      <c r="C10" s="149" t="s">
        <v>416</v>
      </c>
      <c r="D10" s="165" t="s">
        <v>790</v>
      </c>
      <c r="E10" s="164"/>
      <c r="F10" s="84" t="s">
        <v>169</v>
      </c>
      <c r="G10" s="84" t="s">
        <v>116</v>
      </c>
      <c r="H10" s="84"/>
      <c r="I10" s="84"/>
      <c r="J10" s="84"/>
      <c r="K10" s="84" t="s">
        <v>537</v>
      </c>
      <c r="L10" s="84" t="s">
        <v>537</v>
      </c>
      <c r="M10" s="84"/>
      <c r="N10" s="84"/>
      <c r="O10" s="84" t="s">
        <v>537</v>
      </c>
      <c r="P10" s="84" t="s">
        <v>537</v>
      </c>
      <c r="Q10" s="84" t="s">
        <v>537</v>
      </c>
      <c r="R10" s="70"/>
      <c r="S10" s="84" t="s">
        <v>537</v>
      </c>
      <c r="T10" s="153"/>
      <c r="U10" s="154"/>
    </row>
    <row r="11" spans="1:21" ht="66" x14ac:dyDescent="0.25">
      <c r="A11" s="163" t="s">
        <v>417</v>
      </c>
      <c r="B11" s="148" t="s">
        <v>406</v>
      </c>
      <c r="C11" s="149" t="s">
        <v>416</v>
      </c>
      <c r="D11" s="165" t="s">
        <v>791</v>
      </c>
      <c r="E11" s="84"/>
      <c r="F11" s="84" t="s">
        <v>395</v>
      </c>
      <c r="G11" s="84"/>
      <c r="H11" s="84"/>
      <c r="I11" s="84"/>
      <c r="J11" s="84"/>
      <c r="K11" s="84"/>
      <c r="L11" s="84"/>
      <c r="M11" s="84"/>
      <c r="N11" s="84"/>
      <c r="O11" s="84"/>
      <c r="P11" s="84"/>
      <c r="Q11" s="83"/>
      <c r="R11" s="70"/>
      <c r="S11" s="153"/>
      <c r="T11" s="153"/>
      <c r="U11" s="154"/>
    </row>
    <row r="12" spans="1:21" ht="33" x14ac:dyDescent="0.25">
      <c r="A12" s="163" t="s">
        <v>418</v>
      </c>
      <c r="B12" s="148" t="s">
        <v>406</v>
      </c>
      <c r="C12" s="149" t="s">
        <v>419</v>
      </c>
      <c r="D12" s="148" t="s">
        <v>792</v>
      </c>
      <c r="E12" s="164"/>
      <c r="F12" s="84" t="s">
        <v>169</v>
      </c>
      <c r="G12" s="84" t="s">
        <v>116</v>
      </c>
      <c r="H12" s="84"/>
      <c r="I12" s="84"/>
      <c r="J12" s="84"/>
      <c r="K12" s="84" t="s">
        <v>537</v>
      </c>
      <c r="L12" s="84" t="s">
        <v>537</v>
      </c>
      <c r="M12" s="84"/>
      <c r="N12" s="84"/>
      <c r="O12" s="84" t="s">
        <v>537</v>
      </c>
      <c r="P12" s="84" t="s">
        <v>537</v>
      </c>
      <c r="Q12" s="84" t="s">
        <v>537</v>
      </c>
      <c r="R12" s="70"/>
      <c r="S12" s="84" t="s">
        <v>537</v>
      </c>
      <c r="T12" s="153"/>
      <c r="U12" s="154"/>
    </row>
    <row r="13" spans="1:21" ht="66" x14ac:dyDescent="0.25">
      <c r="A13" s="163" t="s">
        <v>420</v>
      </c>
      <c r="B13" s="148" t="s">
        <v>406</v>
      </c>
      <c r="C13" s="149" t="s">
        <v>419</v>
      </c>
      <c r="D13" s="148" t="s">
        <v>793</v>
      </c>
      <c r="E13" s="84"/>
      <c r="F13" s="84" t="s">
        <v>395</v>
      </c>
      <c r="G13" s="84"/>
      <c r="H13" s="84"/>
      <c r="I13" s="84"/>
      <c r="J13" s="84"/>
      <c r="K13" s="84"/>
      <c r="L13" s="84"/>
      <c r="M13" s="84"/>
      <c r="N13" s="84"/>
      <c r="O13" s="84"/>
      <c r="P13" s="84"/>
      <c r="Q13" s="83"/>
      <c r="R13" s="70"/>
      <c r="S13" s="153"/>
      <c r="T13" s="153"/>
      <c r="U13" s="154"/>
    </row>
    <row r="14" spans="1:21" ht="49.5" x14ac:dyDescent="0.25">
      <c r="A14" s="163" t="s">
        <v>421</v>
      </c>
      <c r="B14" s="116" t="s">
        <v>406</v>
      </c>
      <c r="C14" s="114" t="s">
        <v>422</v>
      </c>
      <c r="D14" s="166" t="s">
        <v>794</v>
      </c>
      <c r="E14" s="167"/>
      <c r="F14" s="84" t="s">
        <v>169</v>
      </c>
      <c r="G14" s="84" t="s">
        <v>240</v>
      </c>
      <c r="H14" s="84"/>
      <c r="I14" s="84"/>
      <c r="J14" s="84"/>
      <c r="K14" s="84" t="s">
        <v>537</v>
      </c>
      <c r="L14" s="84" t="s">
        <v>537</v>
      </c>
      <c r="M14" s="84"/>
      <c r="N14" s="84"/>
      <c r="O14" s="84" t="s">
        <v>537</v>
      </c>
      <c r="P14" s="84" t="s">
        <v>537</v>
      </c>
      <c r="Q14" s="84" t="s">
        <v>537</v>
      </c>
      <c r="R14" s="70"/>
      <c r="S14" s="84" t="s">
        <v>537</v>
      </c>
      <c r="T14" s="153"/>
      <c r="U14" s="154"/>
    </row>
    <row r="15" spans="1:21" ht="82.5" x14ac:dyDescent="0.25">
      <c r="A15" s="163" t="s">
        <v>423</v>
      </c>
      <c r="B15" s="116" t="s">
        <v>406</v>
      </c>
      <c r="C15" s="114" t="s">
        <v>422</v>
      </c>
      <c r="D15" s="166" t="s">
        <v>795</v>
      </c>
      <c r="E15" s="121"/>
      <c r="F15" s="84" t="s">
        <v>395</v>
      </c>
      <c r="G15" s="84"/>
      <c r="H15" s="84"/>
      <c r="I15" s="84"/>
      <c r="J15" s="84"/>
      <c r="K15" s="84"/>
      <c r="L15" s="84"/>
      <c r="M15" s="84"/>
      <c r="N15" s="84"/>
      <c r="O15" s="84"/>
      <c r="P15" s="84"/>
      <c r="Q15" s="83"/>
      <c r="R15" s="70"/>
      <c r="S15" s="153"/>
      <c r="T15" s="153"/>
      <c r="U15" s="154"/>
    </row>
    <row r="16" spans="1:21" ht="33" x14ac:dyDescent="0.25">
      <c r="A16" s="105" t="s">
        <v>589</v>
      </c>
      <c r="B16" s="116" t="s">
        <v>406</v>
      </c>
      <c r="C16" s="114" t="s">
        <v>588</v>
      </c>
      <c r="D16" s="116" t="s">
        <v>796</v>
      </c>
      <c r="E16" s="121"/>
      <c r="F16" s="84" t="s">
        <v>169</v>
      </c>
      <c r="G16" s="84" t="s">
        <v>116</v>
      </c>
      <c r="H16" s="168"/>
      <c r="I16" s="168"/>
      <c r="J16" s="168"/>
      <c r="K16" s="84" t="s">
        <v>537</v>
      </c>
      <c r="L16" s="84" t="s">
        <v>537</v>
      </c>
      <c r="M16" s="84"/>
      <c r="N16" s="84"/>
      <c r="O16" s="84" t="s">
        <v>537</v>
      </c>
      <c r="P16" s="84" t="s">
        <v>537</v>
      </c>
      <c r="Q16" s="84" t="s">
        <v>537</v>
      </c>
      <c r="R16" s="70"/>
      <c r="S16" s="84" t="s">
        <v>537</v>
      </c>
      <c r="T16" s="153"/>
      <c r="U16" s="154"/>
    </row>
    <row r="17" spans="1:21" ht="49.5" x14ac:dyDescent="0.25">
      <c r="A17" s="169" t="s">
        <v>590</v>
      </c>
      <c r="B17" s="148" t="s">
        <v>406</v>
      </c>
      <c r="C17" s="149" t="s">
        <v>588</v>
      </c>
      <c r="D17" s="165" t="s">
        <v>797</v>
      </c>
      <c r="E17" s="170"/>
      <c r="F17" s="152" t="s">
        <v>395</v>
      </c>
      <c r="G17" s="152"/>
      <c r="H17" s="152"/>
      <c r="I17" s="152"/>
      <c r="J17" s="152"/>
      <c r="K17" s="152"/>
      <c r="L17" s="152"/>
      <c r="M17" s="152"/>
      <c r="N17" s="152"/>
      <c r="O17" s="152"/>
      <c r="P17" s="152"/>
      <c r="Q17" s="135"/>
      <c r="R17" s="153"/>
      <c r="S17" s="153"/>
      <c r="T17" s="153"/>
      <c r="U17" s="154"/>
    </row>
    <row r="18" spans="1:21" ht="109.5" customHeight="1" x14ac:dyDescent="0.25">
      <c r="A18" s="105" t="s">
        <v>424</v>
      </c>
      <c r="B18" s="116" t="s">
        <v>406</v>
      </c>
      <c r="C18" s="114" t="s">
        <v>425</v>
      </c>
      <c r="D18" s="166" t="s">
        <v>426</v>
      </c>
      <c r="E18" s="121"/>
      <c r="F18" s="84" t="s">
        <v>395</v>
      </c>
      <c r="G18" s="84"/>
      <c r="H18" s="84"/>
      <c r="I18" s="84"/>
      <c r="J18" s="84"/>
      <c r="K18" s="84"/>
      <c r="L18" s="84"/>
      <c r="M18" s="84"/>
      <c r="N18" s="84"/>
      <c r="O18" s="84"/>
      <c r="P18" s="84"/>
      <c r="Q18" s="83"/>
      <c r="R18" s="70"/>
      <c r="S18" s="153"/>
      <c r="T18" s="153"/>
      <c r="U18" s="154"/>
    </row>
    <row r="19" spans="1:21" s="162" customFormat="1" ht="198" x14ac:dyDescent="0.25">
      <c r="A19" s="163" t="s">
        <v>427</v>
      </c>
      <c r="B19" s="116" t="s">
        <v>428</v>
      </c>
      <c r="C19" s="114" t="s">
        <v>429</v>
      </c>
      <c r="D19" s="166" t="s">
        <v>798</v>
      </c>
      <c r="E19" s="114" t="s">
        <v>430</v>
      </c>
      <c r="F19" s="84" t="s">
        <v>169</v>
      </c>
      <c r="G19" s="84" t="s">
        <v>116</v>
      </c>
      <c r="H19" s="84"/>
      <c r="I19" s="84"/>
      <c r="J19" s="84"/>
      <c r="K19" s="84" t="s">
        <v>537</v>
      </c>
      <c r="L19" s="84" t="s">
        <v>537</v>
      </c>
      <c r="M19" s="84"/>
      <c r="N19" s="84"/>
      <c r="O19" s="84" t="s">
        <v>537</v>
      </c>
      <c r="P19" s="84" t="s">
        <v>537</v>
      </c>
      <c r="Q19" s="84" t="s">
        <v>537</v>
      </c>
      <c r="R19" s="70"/>
      <c r="S19" s="84" t="s">
        <v>537</v>
      </c>
      <c r="T19" s="153"/>
      <c r="U19" s="154"/>
    </row>
    <row r="20" spans="1:21" s="162" customFormat="1" ht="64.5" customHeight="1" x14ac:dyDescent="0.25">
      <c r="A20" s="105" t="s">
        <v>431</v>
      </c>
      <c r="B20" s="148" t="s">
        <v>428</v>
      </c>
      <c r="C20" s="114" t="s">
        <v>429</v>
      </c>
      <c r="D20" s="165" t="s">
        <v>799</v>
      </c>
      <c r="E20" s="135"/>
      <c r="F20" s="152" t="s">
        <v>169</v>
      </c>
      <c r="G20" s="84" t="s">
        <v>116</v>
      </c>
      <c r="H20" s="84"/>
      <c r="I20" s="84"/>
      <c r="J20" s="84"/>
      <c r="K20" s="84" t="s">
        <v>537</v>
      </c>
      <c r="L20" s="84" t="s">
        <v>537</v>
      </c>
      <c r="M20" s="84"/>
      <c r="N20" s="84"/>
      <c r="O20" s="84" t="s">
        <v>537</v>
      </c>
      <c r="P20" s="84" t="s">
        <v>537</v>
      </c>
      <c r="Q20" s="84" t="s">
        <v>537</v>
      </c>
      <c r="R20" s="70"/>
      <c r="S20" s="84" t="s">
        <v>537</v>
      </c>
      <c r="T20" s="153"/>
      <c r="U20" s="154"/>
    </row>
    <row r="21" spans="1:21" ht="82.5" x14ac:dyDescent="0.25">
      <c r="A21" s="105" t="s">
        <v>432</v>
      </c>
      <c r="B21" s="148" t="s">
        <v>428</v>
      </c>
      <c r="C21" s="114" t="s">
        <v>433</v>
      </c>
      <c r="D21" s="148" t="s">
        <v>800</v>
      </c>
      <c r="E21" s="171" t="s">
        <v>434</v>
      </c>
      <c r="F21" s="152" t="s">
        <v>169</v>
      </c>
      <c r="G21" s="84" t="s">
        <v>116</v>
      </c>
      <c r="H21" s="84"/>
      <c r="I21" s="84"/>
      <c r="J21" s="84"/>
      <c r="K21" s="84" t="s">
        <v>537</v>
      </c>
      <c r="L21" s="84" t="s">
        <v>537</v>
      </c>
      <c r="M21" s="84"/>
      <c r="N21" s="84"/>
      <c r="O21" s="84" t="s">
        <v>537</v>
      </c>
      <c r="P21" s="84" t="s">
        <v>537</v>
      </c>
      <c r="Q21" s="84" t="s">
        <v>537</v>
      </c>
      <c r="R21" s="70"/>
      <c r="S21" s="84" t="s">
        <v>537</v>
      </c>
      <c r="T21" s="153"/>
      <c r="U21" s="154"/>
    </row>
    <row r="22" spans="1:21" ht="59.1" customHeight="1" x14ac:dyDescent="0.25">
      <c r="A22" s="105" t="s">
        <v>435</v>
      </c>
      <c r="B22" s="148" t="s">
        <v>428</v>
      </c>
      <c r="C22" s="114" t="s">
        <v>433</v>
      </c>
      <c r="D22" s="148" t="s">
        <v>801</v>
      </c>
      <c r="E22" s="135"/>
      <c r="F22" s="152" t="s">
        <v>169</v>
      </c>
      <c r="G22" s="84" t="s">
        <v>116</v>
      </c>
      <c r="H22" s="84"/>
      <c r="I22" s="84"/>
      <c r="J22" s="84"/>
      <c r="K22" s="84" t="s">
        <v>537</v>
      </c>
      <c r="L22" s="84" t="s">
        <v>537</v>
      </c>
      <c r="M22" s="84"/>
      <c r="N22" s="84"/>
      <c r="O22" s="84" t="s">
        <v>537</v>
      </c>
      <c r="P22" s="84" t="s">
        <v>537</v>
      </c>
      <c r="Q22" s="84" t="s">
        <v>537</v>
      </c>
      <c r="R22" s="70"/>
      <c r="S22" s="84" t="s">
        <v>537</v>
      </c>
      <c r="T22" s="153"/>
      <c r="U22" s="154"/>
    </row>
    <row r="23" spans="1:21" s="162" customFormat="1" ht="66" x14ac:dyDescent="0.25">
      <c r="A23" s="105" t="s">
        <v>436</v>
      </c>
      <c r="B23" s="148" t="s">
        <v>437</v>
      </c>
      <c r="C23" s="114" t="s">
        <v>438</v>
      </c>
      <c r="D23" s="165" t="s">
        <v>802</v>
      </c>
      <c r="E23" s="171" t="s">
        <v>439</v>
      </c>
      <c r="F23" s="152" t="s">
        <v>169</v>
      </c>
      <c r="G23" s="84" t="s">
        <v>116</v>
      </c>
      <c r="H23" s="84"/>
      <c r="I23" s="84"/>
      <c r="J23" s="84"/>
      <c r="K23" s="84" t="s">
        <v>537</v>
      </c>
      <c r="L23" s="84" t="s">
        <v>537</v>
      </c>
      <c r="M23" s="84"/>
      <c r="N23" s="84"/>
      <c r="O23" s="84" t="s">
        <v>537</v>
      </c>
      <c r="P23" s="84" t="s">
        <v>537</v>
      </c>
      <c r="Q23" s="84" t="s">
        <v>537</v>
      </c>
      <c r="R23" s="70"/>
      <c r="S23" s="84" t="s">
        <v>537</v>
      </c>
      <c r="T23" s="153"/>
      <c r="U23" s="154"/>
    </row>
    <row r="24" spans="1:21" s="162" customFormat="1" ht="56.1" customHeight="1" x14ac:dyDescent="0.25">
      <c r="A24" s="105" t="s">
        <v>440</v>
      </c>
      <c r="B24" s="148" t="s">
        <v>437</v>
      </c>
      <c r="C24" s="114" t="s">
        <v>438</v>
      </c>
      <c r="D24" s="165" t="s">
        <v>803</v>
      </c>
      <c r="E24" s="135"/>
      <c r="F24" s="152" t="s">
        <v>169</v>
      </c>
      <c r="G24" s="84" t="s">
        <v>116</v>
      </c>
      <c r="H24" s="84"/>
      <c r="I24" s="84"/>
      <c r="J24" s="84"/>
      <c r="K24" s="84" t="s">
        <v>537</v>
      </c>
      <c r="L24" s="84" t="s">
        <v>537</v>
      </c>
      <c r="M24" s="84"/>
      <c r="N24" s="84"/>
      <c r="O24" s="84" t="s">
        <v>537</v>
      </c>
      <c r="P24" s="84" t="s">
        <v>537</v>
      </c>
      <c r="Q24" s="84" t="s">
        <v>537</v>
      </c>
      <c r="R24" s="70"/>
      <c r="S24" s="84" t="s">
        <v>537</v>
      </c>
      <c r="T24" s="153"/>
      <c r="U24" s="154"/>
    </row>
    <row r="25" spans="1:21" ht="148.5" x14ac:dyDescent="0.25">
      <c r="A25" s="105" t="s">
        <v>441</v>
      </c>
      <c r="B25" s="148" t="s">
        <v>437</v>
      </c>
      <c r="C25" s="114" t="s">
        <v>442</v>
      </c>
      <c r="D25" s="148" t="s">
        <v>804</v>
      </c>
      <c r="E25" s="171" t="s">
        <v>443</v>
      </c>
      <c r="F25" s="152" t="s">
        <v>169</v>
      </c>
      <c r="G25" s="84" t="s">
        <v>116</v>
      </c>
      <c r="H25" s="84"/>
      <c r="I25" s="84"/>
      <c r="J25" s="84"/>
      <c r="K25" s="84" t="s">
        <v>537</v>
      </c>
      <c r="L25" s="84" t="s">
        <v>537</v>
      </c>
      <c r="M25" s="84"/>
      <c r="N25" s="84"/>
      <c r="O25" s="84" t="s">
        <v>537</v>
      </c>
      <c r="P25" s="84" t="s">
        <v>537</v>
      </c>
      <c r="Q25" s="84" t="s">
        <v>537</v>
      </c>
      <c r="R25" s="70"/>
      <c r="S25" s="84" t="s">
        <v>537</v>
      </c>
      <c r="T25" s="153"/>
      <c r="U25" s="154"/>
    </row>
    <row r="26" spans="1:21" ht="75.75" customHeight="1" x14ac:dyDescent="0.25">
      <c r="A26" s="105" t="s">
        <v>444</v>
      </c>
      <c r="B26" s="148" t="s">
        <v>437</v>
      </c>
      <c r="C26" s="114" t="s">
        <v>442</v>
      </c>
      <c r="D26" s="148" t="s">
        <v>445</v>
      </c>
      <c r="E26" s="135"/>
      <c r="F26" s="152" t="s">
        <v>169</v>
      </c>
      <c r="G26" s="84" t="s">
        <v>116</v>
      </c>
      <c r="H26" s="84"/>
      <c r="I26" s="84"/>
      <c r="J26" s="84"/>
      <c r="K26" s="84" t="s">
        <v>537</v>
      </c>
      <c r="L26" s="84" t="s">
        <v>537</v>
      </c>
      <c r="M26" s="84"/>
      <c r="N26" s="84"/>
      <c r="O26" s="84" t="s">
        <v>537</v>
      </c>
      <c r="P26" s="84" t="s">
        <v>537</v>
      </c>
      <c r="Q26" s="84" t="s">
        <v>537</v>
      </c>
      <c r="R26" s="70"/>
      <c r="S26" s="84" t="s">
        <v>537</v>
      </c>
      <c r="T26" s="153"/>
      <c r="U26" s="154"/>
    </row>
    <row r="27" spans="1:21" s="162" customFormat="1" ht="49.5" x14ac:dyDescent="0.25">
      <c r="A27" s="115" t="s">
        <v>446</v>
      </c>
      <c r="B27" s="116" t="s">
        <v>447</v>
      </c>
      <c r="C27" s="114" t="s">
        <v>448</v>
      </c>
      <c r="D27" s="166" t="s">
        <v>805</v>
      </c>
      <c r="E27" s="172" t="s">
        <v>449</v>
      </c>
      <c r="F27" s="84" t="s">
        <v>169</v>
      </c>
      <c r="G27" s="84" t="s">
        <v>116</v>
      </c>
      <c r="H27" s="84"/>
      <c r="I27" s="84"/>
      <c r="J27" s="84"/>
      <c r="K27" s="84" t="s">
        <v>537</v>
      </c>
      <c r="L27" s="84" t="s">
        <v>537</v>
      </c>
      <c r="M27" s="84"/>
      <c r="N27" s="84"/>
      <c r="O27" s="84" t="s">
        <v>537</v>
      </c>
      <c r="P27" s="84" t="s">
        <v>537</v>
      </c>
      <c r="Q27" s="84" t="s">
        <v>537</v>
      </c>
      <c r="R27" s="70"/>
      <c r="S27" s="84" t="s">
        <v>537</v>
      </c>
      <c r="T27" s="153"/>
      <c r="U27" s="154"/>
    </row>
    <row r="28" spans="1:21" s="162" customFormat="1" ht="48" customHeight="1" x14ac:dyDescent="0.25">
      <c r="A28" s="115" t="s">
        <v>450</v>
      </c>
      <c r="B28" s="116" t="s">
        <v>447</v>
      </c>
      <c r="C28" s="114" t="s">
        <v>448</v>
      </c>
      <c r="D28" s="166" t="s">
        <v>806</v>
      </c>
      <c r="E28" s="83"/>
      <c r="F28" s="84" t="s">
        <v>169</v>
      </c>
      <c r="G28" s="84" t="s">
        <v>116</v>
      </c>
      <c r="H28" s="84"/>
      <c r="I28" s="84"/>
      <c r="J28" s="84"/>
      <c r="K28" s="84" t="s">
        <v>537</v>
      </c>
      <c r="L28" s="84" t="s">
        <v>537</v>
      </c>
      <c r="M28" s="84"/>
      <c r="N28" s="84"/>
      <c r="O28" s="84" t="s">
        <v>537</v>
      </c>
      <c r="P28" s="84" t="s">
        <v>537</v>
      </c>
      <c r="Q28" s="84" t="s">
        <v>537</v>
      </c>
      <c r="R28" s="70"/>
      <c r="S28" s="84" t="s">
        <v>537</v>
      </c>
      <c r="T28" s="153"/>
      <c r="U28" s="154"/>
    </row>
    <row r="29" spans="1:21" ht="62.25" customHeight="1" x14ac:dyDescent="0.25">
      <c r="A29" s="115" t="s">
        <v>451</v>
      </c>
      <c r="B29" s="116" t="s">
        <v>452</v>
      </c>
      <c r="C29" s="114" t="s">
        <v>452</v>
      </c>
      <c r="D29" s="116" t="s">
        <v>807</v>
      </c>
      <c r="E29" s="172" t="s">
        <v>453</v>
      </c>
      <c r="F29" s="84" t="s">
        <v>169</v>
      </c>
      <c r="G29" s="84" t="s">
        <v>116</v>
      </c>
      <c r="H29" s="84"/>
      <c r="I29" s="84"/>
      <c r="J29" s="84"/>
      <c r="K29" s="84" t="s">
        <v>537</v>
      </c>
      <c r="L29" s="84" t="s">
        <v>537</v>
      </c>
      <c r="M29" s="84"/>
      <c r="N29" s="84"/>
      <c r="O29" s="84" t="s">
        <v>537</v>
      </c>
      <c r="P29" s="84" t="s">
        <v>537</v>
      </c>
      <c r="Q29" s="84" t="s">
        <v>537</v>
      </c>
      <c r="R29" s="70"/>
      <c r="S29" s="84" t="s">
        <v>537</v>
      </c>
      <c r="T29" s="153"/>
      <c r="U29" s="154"/>
    </row>
    <row r="30" spans="1:21" ht="62.25" customHeight="1" x14ac:dyDescent="0.25">
      <c r="A30" s="115" t="s">
        <v>454</v>
      </c>
      <c r="B30" s="116" t="s">
        <v>452</v>
      </c>
      <c r="C30" s="114" t="s">
        <v>452</v>
      </c>
      <c r="D30" s="166" t="s">
        <v>808</v>
      </c>
      <c r="E30" s="83"/>
      <c r="F30" s="84" t="s">
        <v>169</v>
      </c>
      <c r="G30" s="84" t="s">
        <v>116</v>
      </c>
      <c r="H30" s="84"/>
      <c r="I30" s="84"/>
      <c r="J30" s="84"/>
      <c r="K30" s="84" t="s">
        <v>537</v>
      </c>
      <c r="L30" s="84" t="s">
        <v>537</v>
      </c>
      <c r="M30" s="84"/>
      <c r="N30" s="84"/>
      <c r="O30" s="84" t="s">
        <v>537</v>
      </c>
      <c r="P30" s="84" t="s">
        <v>537</v>
      </c>
      <c r="Q30" s="84" t="s">
        <v>537</v>
      </c>
      <c r="R30" s="70"/>
      <c r="S30" s="84" t="s">
        <v>537</v>
      </c>
      <c r="T30" s="153"/>
      <c r="U30" s="154"/>
    </row>
    <row r="31" spans="1:21" s="162" customFormat="1" ht="99" x14ac:dyDescent="0.25">
      <c r="A31" s="115" t="s">
        <v>455</v>
      </c>
      <c r="B31" s="70" t="s">
        <v>456</v>
      </c>
      <c r="C31" s="69" t="s">
        <v>456</v>
      </c>
      <c r="D31" s="70" t="s">
        <v>809</v>
      </c>
      <c r="E31" s="69" t="s">
        <v>457</v>
      </c>
      <c r="F31" s="84" t="s">
        <v>169</v>
      </c>
      <c r="G31" s="84" t="s">
        <v>116</v>
      </c>
      <c r="H31" s="84"/>
      <c r="I31" s="84"/>
      <c r="J31" s="84"/>
      <c r="K31" s="84" t="s">
        <v>537</v>
      </c>
      <c r="L31" s="84" t="s">
        <v>537</v>
      </c>
      <c r="M31" s="84"/>
      <c r="N31" s="84"/>
      <c r="O31" s="84" t="s">
        <v>537</v>
      </c>
      <c r="P31" s="84" t="s">
        <v>537</v>
      </c>
      <c r="Q31" s="84" t="s">
        <v>537</v>
      </c>
      <c r="R31" s="70"/>
      <c r="S31" s="84" t="s">
        <v>537</v>
      </c>
      <c r="T31" s="153"/>
      <c r="U31" s="154"/>
    </row>
    <row r="32" spans="1:21" ht="61.15" customHeight="1" x14ac:dyDescent="0.25">
      <c r="A32" s="115" t="s">
        <v>458</v>
      </c>
      <c r="B32" s="70" t="s">
        <v>456</v>
      </c>
      <c r="C32" s="69" t="s">
        <v>456</v>
      </c>
      <c r="D32" s="70" t="s">
        <v>810</v>
      </c>
      <c r="E32" s="116"/>
      <c r="F32" s="84" t="s">
        <v>169</v>
      </c>
      <c r="G32" s="84" t="s">
        <v>116</v>
      </c>
      <c r="H32" s="84"/>
      <c r="I32" s="84"/>
      <c r="J32" s="84"/>
      <c r="K32" s="84" t="s">
        <v>537</v>
      </c>
      <c r="L32" s="84" t="s">
        <v>537</v>
      </c>
      <c r="M32" s="84"/>
      <c r="N32" s="84"/>
      <c r="O32" s="84" t="s">
        <v>537</v>
      </c>
      <c r="P32" s="84" t="s">
        <v>537</v>
      </c>
      <c r="Q32" s="84" t="s">
        <v>537</v>
      </c>
      <c r="R32" s="70"/>
      <c r="S32" s="84" t="s">
        <v>537</v>
      </c>
      <c r="T32" s="153"/>
      <c r="U32" s="154"/>
    </row>
    <row r="33" spans="1:21" ht="61.15" customHeight="1" x14ac:dyDescent="0.25">
      <c r="A33" s="163" t="s">
        <v>526</v>
      </c>
      <c r="B33" s="153" t="s">
        <v>525</v>
      </c>
      <c r="C33" s="173" t="s">
        <v>525</v>
      </c>
      <c r="D33" s="153" t="s">
        <v>811</v>
      </c>
      <c r="E33" s="148"/>
      <c r="F33" s="152" t="s">
        <v>169</v>
      </c>
      <c r="G33" s="84" t="s">
        <v>116</v>
      </c>
      <c r="H33" s="84"/>
      <c r="I33" s="84"/>
      <c r="J33" s="84"/>
      <c r="K33" s="84" t="s">
        <v>537</v>
      </c>
      <c r="L33" s="84" t="s">
        <v>537</v>
      </c>
      <c r="M33" s="84"/>
      <c r="N33" s="84"/>
      <c r="O33" s="84" t="s">
        <v>537</v>
      </c>
      <c r="P33" s="84" t="s">
        <v>537</v>
      </c>
      <c r="Q33" s="84" t="s">
        <v>537</v>
      </c>
      <c r="R33" s="70"/>
      <c r="S33" s="84" t="s">
        <v>537</v>
      </c>
      <c r="T33" s="153"/>
      <c r="U33" s="154"/>
    </row>
    <row r="34" spans="1:21" ht="61.15" customHeight="1" x14ac:dyDescent="0.25">
      <c r="A34" s="163" t="s">
        <v>527</v>
      </c>
      <c r="B34" s="153" t="s">
        <v>525</v>
      </c>
      <c r="C34" s="173" t="s">
        <v>525</v>
      </c>
      <c r="D34" s="153" t="s">
        <v>812</v>
      </c>
      <c r="E34" s="148"/>
      <c r="F34" s="152" t="s">
        <v>169</v>
      </c>
      <c r="G34" s="84" t="s">
        <v>116</v>
      </c>
      <c r="H34" s="84"/>
      <c r="I34" s="84"/>
      <c r="J34" s="84"/>
      <c r="K34" s="84" t="s">
        <v>537</v>
      </c>
      <c r="L34" s="84" t="s">
        <v>537</v>
      </c>
      <c r="M34" s="84"/>
      <c r="N34" s="84"/>
      <c r="O34" s="84" t="s">
        <v>537</v>
      </c>
      <c r="P34" s="84" t="s">
        <v>537</v>
      </c>
      <c r="Q34" s="84" t="s">
        <v>537</v>
      </c>
      <c r="R34" s="70"/>
      <c r="S34" s="84" t="s">
        <v>537</v>
      </c>
      <c r="T34" s="153"/>
      <c r="U34" s="154"/>
    </row>
    <row r="35" spans="1:21" ht="49.5" x14ac:dyDescent="0.25">
      <c r="A35" s="163" t="s">
        <v>530</v>
      </c>
      <c r="B35" s="153" t="s">
        <v>525</v>
      </c>
      <c r="C35" s="173" t="s">
        <v>525</v>
      </c>
      <c r="D35" s="153" t="s">
        <v>813</v>
      </c>
      <c r="E35" s="148"/>
      <c r="F35" s="152" t="s">
        <v>169</v>
      </c>
      <c r="G35" s="84" t="s">
        <v>116</v>
      </c>
      <c r="H35" s="84"/>
      <c r="I35" s="84"/>
      <c r="J35" s="84"/>
      <c r="K35" s="84" t="s">
        <v>537</v>
      </c>
      <c r="L35" s="84" t="s">
        <v>537</v>
      </c>
      <c r="M35" s="84"/>
      <c r="N35" s="84"/>
      <c r="O35" s="84" t="s">
        <v>537</v>
      </c>
      <c r="P35" s="84" t="s">
        <v>537</v>
      </c>
      <c r="Q35" s="84" t="s">
        <v>537</v>
      </c>
      <c r="R35" s="70"/>
      <c r="S35" s="84" t="s">
        <v>537</v>
      </c>
      <c r="T35" s="153"/>
      <c r="U35" s="154"/>
    </row>
    <row r="36" spans="1:21" ht="49.5" x14ac:dyDescent="0.25">
      <c r="A36" s="174" t="s">
        <v>602</v>
      </c>
      <c r="B36" s="158" t="s">
        <v>603</v>
      </c>
      <c r="C36" s="175" t="s">
        <v>603</v>
      </c>
      <c r="D36" s="155" t="s">
        <v>814</v>
      </c>
      <c r="E36" s="155"/>
      <c r="F36" s="157" t="s">
        <v>395</v>
      </c>
      <c r="G36" s="157"/>
      <c r="H36" s="157"/>
      <c r="I36" s="157"/>
      <c r="J36" s="157"/>
      <c r="K36" s="157"/>
      <c r="L36" s="157"/>
      <c r="M36" s="157"/>
      <c r="N36" s="157"/>
      <c r="O36" s="157"/>
      <c r="P36" s="157"/>
      <c r="Q36" s="158"/>
      <c r="R36" s="158"/>
      <c r="S36" s="158"/>
      <c r="T36" s="158"/>
      <c r="U36" s="159"/>
    </row>
  </sheetData>
  <mergeCells count="3">
    <mergeCell ref="A1:I1"/>
    <mergeCell ref="J1:U2"/>
    <mergeCell ref="A2:E2"/>
  </mergeCells>
  <phoneticPr fontId="10"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tabSelected="1" topLeftCell="B1" zoomScale="78" zoomScaleNormal="78" workbookViewId="0">
      <selection activeCell="D5" sqref="D5"/>
    </sheetView>
  </sheetViews>
  <sheetFormatPr defaultColWidth="10.7109375" defaultRowHeight="16.5" x14ac:dyDescent="0.3"/>
  <cols>
    <col min="1" max="1" width="22.7109375" style="210" customWidth="1"/>
    <col min="2" max="2" width="29.42578125" style="211" customWidth="1"/>
    <col min="3" max="3" width="31" style="212" customWidth="1"/>
    <col min="4" max="4" width="48.7109375" style="210" customWidth="1"/>
    <col min="5" max="5" width="49.85546875" style="213" customWidth="1"/>
    <col min="6" max="6" width="14.28515625" style="211" customWidth="1"/>
    <col min="7" max="7" width="16.5703125" style="210" customWidth="1"/>
    <col min="8" max="8" width="12.42578125" style="210" customWidth="1"/>
    <col min="9" max="9" width="19" style="210" customWidth="1"/>
    <col min="10" max="10" width="9.7109375" style="210" customWidth="1"/>
    <col min="11" max="11" width="20.5703125" style="66" bestFit="1" customWidth="1"/>
    <col min="12" max="12" width="14.7109375" style="66" bestFit="1" customWidth="1"/>
    <col min="13" max="13" width="16.140625" style="66" bestFit="1" customWidth="1"/>
    <col min="14" max="14" width="28.140625" style="66" bestFit="1" customWidth="1"/>
    <col min="15" max="15" width="26" style="66" bestFit="1" customWidth="1"/>
    <col min="16" max="16" width="23.7109375" style="66" bestFit="1" customWidth="1"/>
    <col min="17" max="17" width="14.5703125" style="66" bestFit="1" customWidth="1"/>
    <col min="18" max="18" width="19.28515625" style="66" bestFit="1" customWidth="1"/>
    <col min="19" max="19" width="15.140625" style="66" customWidth="1"/>
    <col min="20" max="20" width="17.7109375" style="66" customWidth="1"/>
    <col min="21" max="21" width="20.5703125" style="66" customWidth="1"/>
    <col min="22" max="16384" width="10.7109375" style="66"/>
  </cols>
  <sheetData>
    <row r="1" spans="1:21" ht="56.25" customHeight="1" x14ac:dyDescent="0.3">
      <c r="A1" s="247" t="str">
        <f>Homepage!A1</f>
        <v>Testexecution Product Release Version: v3.198.276.122
Date Start: 30.06.2026
Date Ende: 06.07.2026 Test</v>
      </c>
      <c r="B1" s="247"/>
      <c r="C1" s="247"/>
      <c r="D1" s="247"/>
      <c r="E1" s="247"/>
      <c r="F1" s="247"/>
      <c r="G1" s="247"/>
      <c r="H1" s="247"/>
      <c r="I1" s="247"/>
      <c r="J1" s="250"/>
      <c r="K1" s="250"/>
      <c r="L1" s="250"/>
      <c r="M1" s="250"/>
      <c r="N1" s="250"/>
      <c r="O1" s="250"/>
      <c r="P1" s="250"/>
      <c r="Q1" s="250"/>
      <c r="R1" s="250"/>
      <c r="S1" s="250"/>
      <c r="T1" s="250"/>
      <c r="U1" s="251"/>
    </row>
    <row r="2" spans="1:21" ht="15.75" customHeight="1" x14ac:dyDescent="0.3">
      <c r="A2" s="248" t="str">
        <f>Homepage!A2</f>
        <v>Environment: https://ngw-stage.lighthouselabs.io/de/mofa.html</v>
      </c>
      <c r="B2" s="249"/>
      <c r="C2" s="249"/>
      <c r="D2" s="249"/>
      <c r="E2" s="249"/>
      <c r="F2" s="77"/>
      <c r="G2" s="77"/>
      <c r="H2" s="78"/>
      <c r="I2" s="79"/>
      <c r="J2" s="252"/>
      <c r="K2" s="252"/>
      <c r="L2" s="252"/>
      <c r="M2" s="252"/>
      <c r="N2" s="252"/>
      <c r="O2" s="252"/>
      <c r="P2" s="252"/>
      <c r="Q2" s="252"/>
      <c r="R2" s="252"/>
      <c r="S2" s="252"/>
      <c r="T2" s="252"/>
      <c r="U2" s="253"/>
    </row>
    <row r="3" spans="1:21" s="147" customFormat="1" ht="54.75" customHeight="1" x14ac:dyDescent="0.25">
      <c r="A3" s="102" t="s">
        <v>105</v>
      </c>
      <c r="B3" s="67" t="s">
        <v>106</v>
      </c>
      <c r="C3" s="67" t="s">
        <v>107</v>
      </c>
      <c r="D3" s="67" t="s">
        <v>625</v>
      </c>
      <c r="E3" s="67" t="s">
        <v>626</v>
      </c>
      <c r="F3" s="67" t="s">
        <v>108</v>
      </c>
      <c r="G3" s="67" t="s">
        <v>109</v>
      </c>
      <c r="H3" s="67" t="s">
        <v>468</v>
      </c>
      <c r="I3" s="67" t="s">
        <v>627</v>
      </c>
      <c r="J3" s="67" t="s">
        <v>628</v>
      </c>
      <c r="K3" s="68" t="s">
        <v>692</v>
      </c>
      <c r="L3" s="68" t="s">
        <v>693</v>
      </c>
      <c r="M3" s="68" t="s">
        <v>699</v>
      </c>
      <c r="N3" s="68" t="s">
        <v>696</v>
      </c>
      <c r="O3" s="68" t="s">
        <v>694</v>
      </c>
      <c r="P3" s="68" t="s">
        <v>695</v>
      </c>
      <c r="Q3" s="68" t="s">
        <v>697</v>
      </c>
      <c r="R3" s="68" t="s">
        <v>698</v>
      </c>
      <c r="S3" s="68" t="s">
        <v>629</v>
      </c>
      <c r="T3" s="99" t="s">
        <v>110</v>
      </c>
      <c r="U3" s="100" t="s">
        <v>111</v>
      </c>
    </row>
    <row r="4" spans="1:21" ht="82.5" x14ac:dyDescent="0.3">
      <c r="A4" s="214" t="s">
        <v>469</v>
      </c>
      <c r="B4" s="215" t="s">
        <v>470</v>
      </c>
      <c r="C4" s="69"/>
      <c r="D4" s="69" t="s">
        <v>946</v>
      </c>
      <c r="E4" s="217"/>
      <c r="F4" s="216" t="s">
        <v>169</v>
      </c>
      <c r="G4" s="217" t="s">
        <v>116</v>
      </c>
      <c r="H4" s="134"/>
      <c r="I4" s="134"/>
      <c r="J4" s="134"/>
      <c r="K4" s="81" t="s">
        <v>537</v>
      </c>
      <c r="L4" s="81" t="s">
        <v>537</v>
      </c>
      <c r="M4" s="81"/>
      <c r="N4" s="81"/>
      <c r="O4" s="81" t="s">
        <v>537</v>
      </c>
      <c r="P4" s="81" t="s">
        <v>537</v>
      </c>
      <c r="Q4" s="81" t="s">
        <v>537</v>
      </c>
      <c r="R4" s="81"/>
      <c r="S4" s="81" t="s">
        <v>537</v>
      </c>
      <c r="T4" s="134"/>
      <c r="U4" s="218"/>
    </row>
    <row r="5" spans="1:21" ht="82.5" x14ac:dyDescent="0.3">
      <c r="A5" s="214" t="s">
        <v>471</v>
      </c>
      <c r="B5" s="215" t="s">
        <v>470</v>
      </c>
      <c r="C5" s="69"/>
      <c r="D5" s="69" t="s">
        <v>947</v>
      </c>
      <c r="E5" s="101"/>
      <c r="F5" s="81" t="s">
        <v>395</v>
      </c>
      <c r="G5" s="217" t="s">
        <v>116</v>
      </c>
      <c r="H5" s="134"/>
      <c r="I5" s="134"/>
      <c r="J5" s="134"/>
      <c r="K5" s="81"/>
      <c r="L5" s="81"/>
      <c r="M5" s="81"/>
      <c r="N5" s="81"/>
      <c r="O5" s="81"/>
      <c r="P5" s="81"/>
      <c r="Q5" s="81"/>
      <c r="R5" s="81"/>
      <c r="S5" s="81"/>
      <c r="T5" s="134"/>
      <c r="U5" s="218"/>
    </row>
    <row r="6" spans="1:21" ht="115.5" x14ac:dyDescent="0.3">
      <c r="A6" s="219" t="s">
        <v>472</v>
      </c>
      <c r="B6" s="215" t="s">
        <v>473</v>
      </c>
      <c r="C6" s="173"/>
      <c r="D6" s="173" t="s">
        <v>948</v>
      </c>
      <c r="E6" s="101"/>
      <c r="F6" s="81" t="s">
        <v>169</v>
      </c>
      <c r="G6" s="101" t="s">
        <v>116</v>
      </c>
      <c r="H6" s="134"/>
      <c r="I6" s="134"/>
      <c r="J6" s="134"/>
      <c r="K6" s="81" t="s">
        <v>537</v>
      </c>
      <c r="L6" s="81" t="s">
        <v>537</v>
      </c>
      <c r="M6" s="81"/>
      <c r="N6" s="81"/>
      <c r="O6" s="81" t="s">
        <v>537</v>
      </c>
      <c r="P6" s="81" t="s">
        <v>537</v>
      </c>
      <c r="Q6" s="81" t="s">
        <v>537</v>
      </c>
      <c r="R6" s="81"/>
      <c r="S6" s="81" t="s">
        <v>537</v>
      </c>
      <c r="T6" s="134"/>
      <c r="U6" s="218"/>
    </row>
    <row r="7" spans="1:21" ht="148.5" x14ac:dyDescent="0.3">
      <c r="A7" s="219" t="s">
        <v>474</v>
      </c>
      <c r="B7" s="215" t="s">
        <v>473</v>
      </c>
      <c r="C7" s="173"/>
      <c r="D7" s="173" t="s">
        <v>949</v>
      </c>
      <c r="E7" s="101"/>
      <c r="F7" s="81" t="s">
        <v>395</v>
      </c>
      <c r="G7" s="101"/>
      <c r="H7" s="134"/>
      <c r="I7" s="134"/>
      <c r="J7" s="134"/>
      <c r="K7" s="81"/>
      <c r="L7" s="81"/>
      <c r="M7" s="81"/>
      <c r="N7" s="81"/>
      <c r="O7" s="81"/>
      <c r="P7" s="81"/>
      <c r="Q7" s="81"/>
      <c r="R7" s="81"/>
      <c r="S7" s="81"/>
      <c r="T7" s="134"/>
      <c r="U7" s="218"/>
    </row>
    <row r="8" spans="1:21" ht="99" x14ac:dyDescent="0.3">
      <c r="A8" s="219" t="s">
        <v>475</v>
      </c>
      <c r="B8" s="215" t="s">
        <v>476</v>
      </c>
      <c r="C8" s="173"/>
      <c r="D8" s="173" t="s">
        <v>950</v>
      </c>
      <c r="E8" s="217"/>
      <c r="F8" s="81" t="s">
        <v>169</v>
      </c>
      <c r="G8" s="217" t="s">
        <v>116</v>
      </c>
      <c r="H8" s="134"/>
      <c r="I8" s="134"/>
      <c r="J8" s="134"/>
      <c r="K8" s="81" t="s">
        <v>537</v>
      </c>
      <c r="L8" s="81" t="s">
        <v>537</v>
      </c>
      <c r="M8" s="81"/>
      <c r="N8" s="81"/>
      <c r="O8" s="81" t="s">
        <v>537</v>
      </c>
      <c r="P8" s="81" t="s">
        <v>537</v>
      </c>
      <c r="Q8" s="81" t="s">
        <v>537</v>
      </c>
      <c r="R8" s="81"/>
      <c r="S8" s="81" t="s">
        <v>537</v>
      </c>
      <c r="T8" s="134"/>
      <c r="U8" s="218"/>
    </row>
    <row r="9" spans="1:21" ht="99" x14ac:dyDescent="0.3">
      <c r="A9" s="219" t="s">
        <v>480</v>
      </c>
      <c r="B9" s="215" t="s">
        <v>481</v>
      </c>
      <c r="C9" s="173"/>
      <c r="D9" s="173" t="s">
        <v>953</v>
      </c>
      <c r="E9" s="101"/>
      <c r="F9" s="93" t="s">
        <v>395</v>
      </c>
      <c r="G9" s="101"/>
      <c r="H9" s="134"/>
      <c r="I9" s="134"/>
      <c r="J9" s="134"/>
      <c r="K9" s="81"/>
      <c r="L9" s="81"/>
      <c r="M9" s="81"/>
      <c r="N9" s="81"/>
      <c r="O9" s="81"/>
      <c r="P9" s="81"/>
      <c r="Q9" s="81"/>
      <c r="R9" s="81"/>
      <c r="S9" s="81"/>
      <c r="T9" s="134"/>
      <c r="U9" s="218"/>
    </row>
    <row r="10" spans="1:21" ht="82.5" x14ac:dyDescent="0.3">
      <c r="A10" s="219" t="s">
        <v>482</v>
      </c>
      <c r="B10" s="215" t="s">
        <v>483</v>
      </c>
      <c r="C10" s="173"/>
      <c r="D10" s="173" t="s">
        <v>954</v>
      </c>
      <c r="E10" s="217"/>
      <c r="F10" s="81" t="s">
        <v>169</v>
      </c>
      <c r="G10" s="217" t="s">
        <v>116</v>
      </c>
      <c r="H10" s="134"/>
      <c r="I10" s="134"/>
      <c r="J10" s="134"/>
      <c r="K10" s="81" t="s">
        <v>537</v>
      </c>
      <c r="L10" s="81" t="s">
        <v>537</v>
      </c>
      <c r="M10" s="81"/>
      <c r="N10" s="81"/>
      <c r="O10" s="81" t="s">
        <v>537</v>
      </c>
      <c r="P10" s="81" t="s">
        <v>537</v>
      </c>
      <c r="Q10" s="81" t="s">
        <v>537</v>
      </c>
      <c r="R10" s="81"/>
      <c r="S10" s="81" t="s">
        <v>537</v>
      </c>
      <c r="T10" s="134"/>
      <c r="U10" s="218"/>
    </row>
    <row r="11" spans="1:21" ht="99" x14ac:dyDescent="0.3">
      <c r="A11" s="219" t="s">
        <v>484</v>
      </c>
      <c r="B11" s="215" t="s">
        <v>485</v>
      </c>
      <c r="C11" s="173"/>
      <c r="D11" s="173" t="s">
        <v>955</v>
      </c>
      <c r="E11" s="217"/>
      <c r="F11" s="81" t="s">
        <v>169</v>
      </c>
      <c r="G11" s="217" t="s">
        <v>116</v>
      </c>
      <c r="H11" s="134"/>
      <c r="I11" s="134"/>
      <c r="J11" s="134"/>
      <c r="K11" s="81" t="s">
        <v>537</v>
      </c>
      <c r="L11" s="81" t="s">
        <v>537</v>
      </c>
      <c r="M11" s="81"/>
      <c r="N11" s="81"/>
      <c r="O11" s="81" t="s">
        <v>537</v>
      </c>
      <c r="P11" s="81" t="s">
        <v>537</v>
      </c>
      <c r="Q11" s="81" t="s">
        <v>537</v>
      </c>
      <c r="R11" s="81"/>
      <c r="S11" s="81" t="s">
        <v>537</v>
      </c>
      <c r="T11" s="134"/>
      <c r="U11" s="218"/>
    </row>
    <row r="12" spans="1:21" ht="82.5" x14ac:dyDescent="0.3">
      <c r="A12" s="219" t="s">
        <v>486</v>
      </c>
      <c r="B12" s="215" t="s">
        <v>487</v>
      </c>
      <c r="C12" s="173"/>
      <c r="D12" s="173" t="s">
        <v>956</v>
      </c>
      <c r="E12" s="101"/>
      <c r="F12" s="81" t="s">
        <v>395</v>
      </c>
      <c r="G12" s="101"/>
      <c r="H12" s="134"/>
      <c r="I12" s="134"/>
      <c r="J12" s="134"/>
      <c r="K12" s="81"/>
      <c r="L12" s="81"/>
      <c r="M12" s="81"/>
      <c r="N12" s="81"/>
      <c r="O12" s="81"/>
      <c r="P12" s="81"/>
      <c r="Q12" s="81"/>
      <c r="R12" s="81"/>
      <c r="S12" s="81"/>
      <c r="T12" s="134"/>
      <c r="U12" s="218"/>
    </row>
    <row r="13" spans="1:21" ht="54.75" customHeight="1" x14ac:dyDescent="0.3">
      <c r="A13" s="219" t="s">
        <v>488</v>
      </c>
      <c r="B13" s="215" t="s">
        <v>489</v>
      </c>
      <c r="C13" s="173"/>
      <c r="D13" s="173" t="s">
        <v>957</v>
      </c>
      <c r="E13" s="101"/>
      <c r="F13" s="81" t="s">
        <v>169</v>
      </c>
      <c r="G13" s="101" t="s">
        <v>116</v>
      </c>
      <c r="H13" s="134"/>
      <c r="I13" s="134"/>
      <c r="J13" s="134"/>
      <c r="K13" s="81" t="s">
        <v>537</v>
      </c>
      <c r="L13" s="81" t="s">
        <v>537</v>
      </c>
      <c r="M13" s="81"/>
      <c r="N13" s="81"/>
      <c r="O13" s="81" t="s">
        <v>537</v>
      </c>
      <c r="P13" s="81" t="s">
        <v>537</v>
      </c>
      <c r="Q13" s="81" t="s">
        <v>537</v>
      </c>
      <c r="R13" s="81"/>
      <c r="S13" s="81" t="s">
        <v>537</v>
      </c>
      <c r="T13" s="134"/>
      <c r="U13" s="218"/>
    </row>
    <row r="14" spans="1:21" ht="198" x14ac:dyDescent="0.3">
      <c r="A14" s="219" t="s">
        <v>490</v>
      </c>
      <c r="B14" s="215" t="s">
        <v>491</v>
      </c>
      <c r="C14" s="173"/>
      <c r="D14" s="173" t="s">
        <v>958</v>
      </c>
      <c r="E14" s="230"/>
      <c r="F14" s="81" t="s">
        <v>169</v>
      </c>
      <c r="G14" s="230" t="s">
        <v>116</v>
      </c>
      <c r="H14" s="134"/>
      <c r="I14" s="134"/>
      <c r="J14" s="134"/>
      <c r="K14" s="81" t="s">
        <v>537</v>
      </c>
      <c r="L14" s="81" t="s">
        <v>537</v>
      </c>
      <c r="M14" s="81"/>
      <c r="N14" s="81"/>
      <c r="O14" s="81" t="s">
        <v>537</v>
      </c>
      <c r="P14" s="81" t="s">
        <v>537</v>
      </c>
      <c r="Q14" s="81" t="s">
        <v>537</v>
      </c>
      <c r="R14" s="81"/>
      <c r="S14" s="81" t="s">
        <v>537</v>
      </c>
      <c r="T14" s="134"/>
      <c r="U14" s="218"/>
    </row>
    <row r="15" spans="1:21" ht="36.75" customHeight="1" x14ac:dyDescent="0.3">
      <c r="A15" s="219" t="s">
        <v>492</v>
      </c>
      <c r="B15" s="215" t="s">
        <v>491</v>
      </c>
      <c r="C15" s="173"/>
      <c r="D15" s="173" t="s">
        <v>959</v>
      </c>
      <c r="E15" s="101"/>
      <c r="F15" s="81" t="s">
        <v>169</v>
      </c>
      <c r="G15" s="101" t="s">
        <v>116</v>
      </c>
      <c r="H15" s="134"/>
      <c r="I15" s="134"/>
      <c r="J15" s="134"/>
      <c r="K15" s="81" t="s">
        <v>537</v>
      </c>
      <c r="L15" s="81" t="s">
        <v>537</v>
      </c>
      <c r="M15" s="81"/>
      <c r="N15" s="81"/>
      <c r="O15" s="81" t="s">
        <v>537</v>
      </c>
      <c r="P15" s="81" t="s">
        <v>537</v>
      </c>
      <c r="Q15" s="81" t="s">
        <v>537</v>
      </c>
      <c r="R15" s="81"/>
      <c r="S15" s="81" t="s">
        <v>537</v>
      </c>
      <c r="T15" s="134"/>
      <c r="U15" s="218"/>
    </row>
    <row r="16" spans="1:21" ht="214.5" x14ac:dyDescent="0.3">
      <c r="A16" s="219" t="s">
        <v>493</v>
      </c>
      <c r="B16" s="215" t="s">
        <v>494</v>
      </c>
      <c r="C16" s="173"/>
      <c r="D16" s="173" t="s">
        <v>960</v>
      </c>
      <c r="E16" s="217"/>
      <c r="F16" s="81" t="s">
        <v>169</v>
      </c>
      <c r="G16" s="217" t="s">
        <v>116</v>
      </c>
      <c r="H16" s="134"/>
      <c r="I16" s="134"/>
      <c r="J16" s="134"/>
      <c r="K16" s="81" t="s">
        <v>537</v>
      </c>
      <c r="L16" s="81" t="s">
        <v>537</v>
      </c>
      <c r="M16" s="81"/>
      <c r="N16" s="81"/>
      <c r="O16" s="81" t="s">
        <v>537</v>
      </c>
      <c r="P16" s="81" t="s">
        <v>537</v>
      </c>
      <c r="Q16" s="81" t="s">
        <v>537</v>
      </c>
      <c r="R16" s="81"/>
      <c r="S16" s="81" t="s">
        <v>537</v>
      </c>
      <c r="T16" s="134"/>
      <c r="U16" s="218"/>
    </row>
    <row r="17" spans="1:21" ht="148.5" x14ac:dyDescent="0.3">
      <c r="A17" s="219" t="s">
        <v>495</v>
      </c>
      <c r="B17" s="215" t="s">
        <v>496</v>
      </c>
      <c r="C17" s="173"/>
      <c r="D17" s="173" t="s">
        <v>961</v>
      </c>
      <c r="E17" s="217"/>
      <c r="F17" s="188" t="s">
        <v>169</v>
      </c>
      <c r="G17" s="217" t="s">
        <v>116</v>
      </c>
      <c r="H17" s="134"/>
      <c r="I17" s="134"/>
      <c r="J17" s="134"/>
      <c r="K17" s="81" t="s">
        <v>537</v>
      </c>
      <c r="L17" s="81" t="s">
        <v>537</v>
      </c>
      <c r="M17" s="229"/>
      <c r="N17" s="229"/>
      <c r="O17" s="81" t="s">
        <v>537</v>
      </c>
      <c r="P17" s="81" t="s">
        <v>537</v>
      </c>
      <c r="Q17" s="81" t="s">
        <v>537</v>
      </c>
      <c r="R17" s="229"/>
      <c r="S17" s="81" t="s">
        <v>537</v>
      </c>
      <c r="T17" s="134"/>
      <c r="U17" s="218"/>
    </row>
    <row r="18" spans="1:21" ht="56.25" customHeight="1" x14ac:dyDescent="0.3">
      <c r="A18" s="219" t="s">
        <v>497</v>
      </c>
      <c r="B18" s="215" t="s">
        <v>498</v>
      </c>
      <c r="C18" s="173"/>
      <c r="D18" s="173" t="s">
        <v>962</v>
      </c>
      <c r="E18" s="101"/>
      <c r="F18" s="81" t="s">
        <v>169</v>
      </c>
      <c r="G18" s="101" t="s">
        <v>116</v>
      </c>
      <c r="H18" s="134"/>
      <c r="I18" s="134"/>
      <c r="J18" s="134"/>
      <c r="K18" s="81" t="s">
        <v>537</v>
      </c>
      <c r="L18" s="81" t="s">
        <v>537</v>
      </c>
      <c r="M18" s="81"/>
      <c r="N18" s="81"/>
      <c r="O18" s="81" t="s">
        <v>537</v>
      </c>
      <c r="P18" s="81" t="s">
        <v>537</v>
      </c>
      <c r="Q18" s="81" t="s">
        <v>537</v>
      </c>
      <c r="R18" s="81"/>
      <c r="S18" s="81" t="s">
        <v>537</v>
      </c>
      <c r="T18" s="134"/>
      <c r="U18" s="218"/>
    </row>
    <row r="19" spans="1:21" ht="409.5" x14ac:dyDescent="0.3">
      <c r="A19" s="219" t="s">
        <v>499</v>
      </c>
      <c r="B19" s="215" t="s">
        <v>500</v>
      </c>
      <c r="C19" s="114"/>
      <c r="D19" s="114" t="s">
        <v>963</v>
      </c>
      <c r="E19" s="230"/>
      <c r="F19" s="84" t="s">
        <v>169</v>
      </c>
      <c r="G19" s="230" t="s">
        <v>116</v>
      </c>
      <c r="H19" s="134"/>
      <c r="I19" s="134"/>
      <c r="J19" s="134"/>
      <c r="K19" s="81" t="s">
        <v>537</v>
      </c>
      <c r="L19" s="81" t="s">
        <v>537</v>
      </c>
      <c r="M19" s="81"/>
      <c r="N19" s="81"/>
      <c r="O19" s="81" t="s">
        <v>537</v>
      </c>
      <c r="P19" s="81" t="s">
        <v>537</v>
      </c>
      <c r="Q19" s="81" t="s">
        <v>537</v>
      </c>
      <c r="R19" s="81"/>
      <c r="S19" s="81" t="s">
        <v>537</v>
      </c>
      <c r="T19" s="134"/>
      <c r="U19" s="218"/>
    </row>
    <row r="20" spans="1:21" ht="264" x14ac:dyDescent="0.3">
      <c r="A20" s="219" t="s">
        <v>501</v>
      </c>
      <c r="B20" s="215" t="s">
        <v>502</v>
      </c>
      <c r="C20" s="149"/>
      <c r="D20" s="149" t="s">
        <v>964</v>
      </c>
      <c r="E20" s="230"/>
      <c r="F20" s="84" t="s">
        <v>169</v>
      </c>
      <c r="G20" s="230" t="s">
        <v>116</v>
      </c>
      <c r="H20" s="134"/>
      <c r="I20" s="134"/>
      <c r="J20" s="134"/>
      <c r="K20" s="81" t="s">
        <v>537</v>
      </c>
      <c r="L20" s="81" t="s">
        <v>537</v>
      </c>
      <c r="M20" s="81"/>
      <c r="N20" s="81"/>
      <c r="O20" s="81" t="s">
        <v>537</v>
      </c>
      <c r="P20" s="81" t="s">
        <v>537</v>
      </c>
      <c r="Q20" s="81" t="s">
        <v>537</v>
      </c>
      <c r="R20" s="81"/>
      <c r="S20" s="81" t="s">
        <v>537</v>
      </c>
      <c r="T20" s="134"/>
      <c r="U20" s="218"/>
    </row>
    <row r="21" spans="1:21" ht="66" x14ac:dyDescent="0.3">
      <c r="A21" s="219" t="s">
        <v>503</v>
      </c>
      <c r="B21" s="231" t="s">
        <v>504</v>
      </c>
      <c r="C21" s="149"/>
      <c r="D21" s="149" t="s">
        <v>965</v>
      </c>
      <c r="E21" s="101"/>
      <c r="F21" s="84" t="s">
        <v>169</v>
      </c>
      <c r="G21" s="101" t="s">
        <v>116</v>
      </c>
      <c r="H21" s="134"/>
      <c r="I21" s="134"/>
      <c r="J21" s="134"/>
      <c r="K21" s="81" t="s">
        <v>537</v>
      </c>
      <c r="L21" s="81" t="s">
        <v>537</v>
      </c>
      <c r="M21" s="81"/>
      <c r="N21" s="81"/>
      <c r="O21" s="81" t="s">
        <v>537</v>
      </c>
      <c r="P21" s="81" t="s">
        <v>537</v>
      </c>
      <c r="Q21" s="81" t="s">
        <v>537</v>
      </c>
      <c r="R21" s="81"/>
      <c r="S21" s="81" t="s">
        <v>537</v>
      </c>
      <c r="T21" s="134"/>
      <c r="U21" s="218"/>
    </row>
    <row r="22" spans="1:21" ht="49.5" x14ac:dyDescent="0.3">
      <c r="A22" s="219" t="s">
        <v>505</v>
      </c>
      <c r="B22" s="231" t="s">
        <v>506</v>
      </c>
      <c r="C22" s="149"/>
      <c r="D22" s="149" t="s">
        <v>966</v>
      </c>
      <c r="E22" s="230"/>
      <c r="F22" s="84" t="s">
        <v>169</v>
      </c>
      <c r="G22" s="230" t="s">
        <v>116</v>
      </c>
      <c r="H22" s="134"/>
      <c r="I22" s="134"/>
      <c r="J22" s="134"/>
      <c r="K22" s="81" t="s">
        <v>537</v>
      </c>
      <c r="L22" s="81" t="s">
        <v>537</v>
      </c>
      <c r="M22" s="81"/>
      <c r="N22" s="81"/>
      <c r="O22" s="81" t="s">
        <v>537</v>
      </c>
      <c r="P22" s="81" t="s">
        <v>537</v>
      </c>
      <c r="Q22" s="81" t="s">
        <v>537</v>
      </c>
      <c r="R22" s="81"/>
      <c r="S22" s="81" t="s">
        <v>537</v>
      </c>
      <c r="T22" s="134"/>
      <c r="U22" s="218"/>
    </row>
    <row r="23" spans="1:21" ht="66" x14ac:dyDescent="0.3">
      <c r="A23" s="219" t="s">
        <v>507</v>
      </c>
      <c r="B23" s="118" t="s">
        <v>508</v>
      </c>
      <c r="C23" s="114"/>
      <c r="D23" s="114" t="s">
        <v>967</v>
      </c>
      <c r="E23" s="230"/>
      <c r="F23" s="232" t="s">
        <v>395</v>
      </c>
      <c r="G23" s="230"/>
      <c r="H23" s="134"/>
      <c r="I23" s="134"/>
      <c r="J23" s="134"/>
      <c r="K23" s="81"/>
      <c r="L23" s="81"/>
      <c r="M23" s="81"/>
      <c r="N23" s="81"/>
      <c r="O23" s="81"/>
      <c r="P23" s="81"/>
      <c r="Q23" s="81"/>
      <c r="R23" s="81"/>
      <c r="S23" s="81"/>
      <c r="T23" s="134"/>
      <c r="U23" s="218"/>
    </row>
    <row r="24" spans="1:21" ht="66" x14ac:dyDescent="0.3">
      <c r="A24" s="219" t="s">
        <v>509</v>
      </c>
      <c r="B24" s="118" t="s">
        <v>510</v>
      </c>
      <c r="C24" s="114"/>
      <c r="D24" s="114" t="s">
        <v>968</v>
      </c>
      <c r="E24" s="101"/>
      <c r="F24" s="84" t="s">
        <v>169</v>
      </c>
      <c r="G24" s="101" t="s">
        <v>116</v>
      </c>
      <c r="H24" s="134"/>
      <c r="I24" s="134"/>
      <c r="J24" s="134"/>
      <c r="K24" s="81" t="s">
        <v>537</v>
      </c>
      <c r="L24" s="81" t="s">
        <v>537</v>
      </c>
      <c r="M24" s="81"/>
      <c r="N24" s="81"/>
      <c r="O24" s="81" t="s">
        <v>537</v>
      </c>
      <c r="P24" s="81" t="s">
        <v>537</v>
      </c>
      <c r="Q24" s="81" t="s">
        <v>537</v>
      </c>
      <c r="R24" s="81"/>
      <c r="S24" s="81" t="s">
        <v>537</v>
      </c>
      <c r="T24" s="134"/>
      <c r="U24" s="218"/>
    </row>
    <row r="25" spans="1:21" ht="214.5" x14ac:dyDescent="0.3">
      <c r="A25" s="219" t="s">
        <v>511</v>
      </c>
      <c r="B25" s="118" t="s">
        <v>510</v>
      </c>
      <c r="C25" s="114"/>
      <c r="D25" s="114" t="s">
        <v>969</v>
      </c>
      <c r="E25" s="83"/>
      <c r="F25" s="84" t="s">
        <v>169</v>
      </c>
      <c r="G25" s="83" t="s">
        <v>134</v>
      </c>
      <c r="H25" s="134"/>
      <c r="I25" s="134"/>
      <c r="J25" s="134"/>
      <c r="K25" s="81" t="s">
        <v>537</v>
      </c>
      <c r="L25" s="81" t="s">
        <v>537</v>
      </c>
      <c r="M25" s="81"/>
      <c r="N25" s="81"/>
      <c r="O25" s="81" t="s">
        <v>537</v>
      </c>
      <c r="P25" s="81" t="s">
        <v>537</v>
      </c>
      <c r="Q25" s="81" t="s">
        <v>537</v>
      </c>
      <c r="R25" s="81"/>
      <c r="S25" s="81" t="s">
        <v>537</v>
      </c>
      <c r="T25" s="134"/>
      <c r="U25" s="218"/>
    </row>
    <row r="26" spans="1:21" ht="297" x14ac:dyDescent="0.3">
      <c r="A26" s="219" t="s">
        <v>576</v>
      </c>
      <c r="B26" s="215" t="s">
        <v>510</v>
      </c>
      <c r="C26" s="149"/>
      <c r="D26" s="149" t="s">
        <v>970</v>
      </c>
      <c r="E26" s="135"/>
      <c r="F26" s="152" t="s">
        <v>395</v>
      </c>
      <c r="G26" s="135"/>
      <c r="H26" s="188"/>
      <c r="I26" s="188"/>
      <c r="J26" s="188"/>
      <c r="K26" s="188"/>
      <c r="L26" s="188"/>
      <c r="M26" s="188"/>
      <c r="N26" s="188"/>
      <c r="O26" s="188"/>
      <c r="P26" s="188"/>
      <c r="Q26" s="152"/>
      <c r="R26" s="134"/>
      <c r="S26" s="134"/>
      <c r="T26" s="134"/>
      <c r="U26" s="218"/>
    </row>
    <row r="27" spans="1:21" s="206" customFormat="1" ht="66" x14ac:dyDescent="0.3">
      <c r="A27" s="219" t="s">
        <v>578</v>
      </c>
      <c r="B27" s="118" t="s">
        <v>579</v>
      </c>
      <c r="C27" s="114"/>
      <c r="D27" s="114" t="s">
        <v>971</v>
      </c>
      <c r="E27" s="83"/>
      <c r="F27" s="84" t="s">
        <v>395</v>
      </c>
      <c r="G27" s="83"/>
      <c r="H27" s="81"/>
      <c r="I27" s="81"/>
      <c r="J27" s="81"/>
      <c r="K27" s="81"/>
      <c r="L27" s="81"/>
      <c r="M27" s="81"/>
      <c r="N27" s="81"/>
      <c r="O27" s="81"/>
      <c r="P27" s="81"/>
      <c r="Q27" s="84"/>
      <c r="R27" s="91"/>
      <c r="S27" s="91"/>
      <c r="T27" s="91"/>
      <c r="U27" s="92"/>
    </row>
    <row r="28" spans="1:21" s="206" customFormat="1" ht="82.5" x14ac:dyDescent="0.3">
      <c r="A28" s="219" t="s">
        <v>596</v>
      </c>
      <c r="B28" s="116" t="s">
        <v>98</v>
      </c>
      <c r="C28" s="116"/>
      <c r="D28" s="116" t="s">
        <v>972</v>
      </c>
      <c r="E28" s="83"/>
      <c r="F28" s="84" t="s">
        <v>169</v>
      </c>
      <c r="G28" s="83" t="s">
        <v>116</v>
      </c>
      <c r="H28" s="188"/>
      <c r="I28" s="188"/>
      <c r="J28" s="188"/>
      <c r="K28" s="188"/>
      <c r="L28" s="188"/>
      <c r="M28" s="188"/>
      <c r="N28" s="188"/>
      <c r="O28" s="188"/>
      <c r="P28" s="188"/>
      <c r="Q28" s="188"/>
      <c r="R28" s="91"/>
      <c r="S28" s="91"/>
      <c r="T28" s="91"/>
      <c r="U28" s="92"/>
    </row>
    <row r="29" spans="1:21" ht="49.5" x14ac:dyDescent="0.3">
      <c r="A29" s="219" t="s">
        <v>601</v>
      </c>
      <c r="B29" s="155" t="s">
        <v>603</v>
      </c>
      <c r="C29" s="155"/>
      <c r="D29" s="155" t="s">
        <v>814</v>
      </c>
      <c r="E29" s="142"/>
      <c r="F29" s="157" t="s">
        <v>395</v>
      </c>
      <c r="G29" s="142"/>
      <c r="H29" s="233"/>
      <c r="I29" s="233"/>
      <c r="J29" s="233"/>
      <c r="K29" s="233"/>
      <c r="L29" s="233"/>
      <c r="M29" s="233"/>
      <c r="N29" s="233"/>
      <c r="O29" s="233"/>
      <c r="P29" s="233"/>
      <c r="Q29" s="233"/>
      <c r="R29" s="234"/>
      <c r="S29" s="234"/>
      <c r="T29" s="234"/>
      <c r="U29" s="235"/>
    </row>
    <row r="30" spans="1:21" ht="132" x14ac:dyDescent="0.3">
      <c r="A30" s="219" t="s">
        <v>982</v>
      </c>
      <c r="B30" s="239" t="s">
        <v>983</v>
      </c>
      <c r="C30" s="239"/>
      <c r="D30" s="240" t="s">
        <v>985</v>
      </c>
      <c r="E30" s="83"/>
      <c r="F30" s="84"/>
      <c r="G30" s="83"/>
      <c r="H30" s="188"/>
      <c r="I30" s="188"/>
      <c r="J30" s="188"/>
      <c r="K30" s="188"/>
      <c r="L30" s="188"/>
      <c r="M30" s="188"/>
      <c r="N30" s="188"/>
      <c r="O30" s="188"/>
      <c r="P30" s="188"/>
      <c r="Q30" s="76"/>
      <c r="T30" s="134"/>
      <c r="U30" s="218"/>
    </row>
    <row r="31" spans="1:21" ht="132" x14ac:dyDescent="0.3">
      <c r="A31" s="219" t="s">
        <v>987</v>
      </c>
      <c r="B31" s="241" t="s">
        <v>984</v>
      </c>
      <c r="C31" s="242"/>
      <c r="D31" s="240" t="s">
        <v>986</v>
      </c>
      <c r="E31" s="83"/>
      <c r="F31" s="84"/>
      <c r="G31" s="83"/>
      <c r="H31" s="188"/>
      <c r="I31" s="188"/>
      <c r="J31" s="188"/>
      <c r="K31" s="188"/>
      <c r="L31" s="188"/>
      <c r="M31" s="188"/>
      <c r="N31" s="188"/>
      <c r="O31" s="188"/>
      <c r="P31" s="188"/>
      <c r="Q31" s="76"/>
      <c r="T31" s="134"/>
      <c r="U31" s="218"/>
    </row>
    <row r="32" spans="1:21" x14ac:dyDescent="0.3">
      <c r="A32" s="66"/>
      <c r="B32" s="207"/>
      <c r="C32" s="208"/>
      <c r="D32" s="66"/>
      <c r="E32" s="209"/>
      <c r="F32" s="207"/>
      <c r="G32" s="66"/>
      <c r="H32" s="66"/>
      <c r="I32" s="66"/>
      <c r="J32" s="66"/>
    </row>
    <row r="33" spans="2:6" s="66" customFormat="1" x14ac:dyDescent="0.3">
      <c r="B33" s="207"/>
      <c r="C33" s="208"/>
      <c r="E33" s="209"/>
      <c r="F33" s="207"/>
    </row>
    <row r="34" spans="2:6" s="66" customFormat="1" x14ac:dyDescent="0.3">
      <c r="B34" s="207"/>
      <c r="C34" s="208"/>
      <c r="E34" s="209"/>
      <c r="F34" s="207"/>
    </row>
    <row r="35" spans="2:6" s="66" customFormat="1" x14ac:dyDescent="0.3">
      <c r="B35" s="207"/>
      <c r="C35" s="208"/>
      <c r="E35" s="209"/>
      <c r="F35" s="207"/>
    </row>
    <row r="36" spans="2:6" s="66" customFormat="1" x14ac:dyDescent="0.3">
      <c r="B36" s="207"/>
      <c r="C36" s="208"/>
      <c r="E36" s="209"/>
      <c r="F36" s="207"/>
    </row>
    <row r="37" spans="2:6" s="66" customFormat="1" x14ac:dyDescent="0.3">
      <c r="B37" s="207"/>
      <c r="C37" s="208"/>
      <c r="E37" s="209"/>
      <c r="F37" s="207"/>
    </row>
    <row r="38" spans="2:6" s="66" customFormat="1" x14ac:dyDescent="0.3">
      <c r="B38" s="207"/>
      <c r="C38" s="208"/>
      <c r="E38" s="209"/>
      <c r="F38" s="207"/>
    </row>
    <row r="39" spans="2:6" s="66" customFormat="1" x14ac:dyDescent="0.3">
      <c r="B39" s="207"/>
      <c r="C39" s="208"/>
      <c r="E39" s="209"/>
      <c r="F39" s="207"/>
    </row>
    <row r="40" spans="2:6" s="66" customFormat="1" x14ac:dyDescent="0.3">
      <c r="B40" s="207"/>
      <c r="C40" s="208"/>
      <c r="E40" s="209"/>
      <c r="F40" s="207"/>
    </row>
    <row r="41" spans="2:6" s="66" customFormat="1" x14ac:dyDescent="0.3">
      <c r="B41" s="207"/>
      <c r="C41" s="208"/>
      <c r="E41" s="209"/>
      <c r="F41" s="207"/>
    </row>
    <row r="42" spans="2:6" s="66" customFormat="1" x14ac:dyDescent="0.3">
      <c r="B42" s="207"/>
      <c r="C42" s="208"/>
      <c r="E42" s="209"/>
      <c r="F42" s="207"/>
    </row>
    <row r="43" spans="2:6" s="66" customFormat="1" x14ac:dyDescent="0.3">
      <c r="B43" s="207"/>
      <c r="C43" s="208"/>
      <c r="E43" s="209"/>
      <c r="F43" s="207"/>
    </row>
    <row r="44" spans="2:6" s="66" customFormat="1" x14ac:dyDescent="0.3">
      <c r="B44" s="207"/>
      <c r="C44" s="208"/>
      <c r="E44" s="209"/>
      <c r="F44" s="207"/>
    </row>
    <row r="45" spans="2:6" s="66" customFormat="1" x14ac:dyDescent="0.3">
      <c r="B45" s="207"/>
      <c r="C45" s="208"/>
      <c r="E45" s="209"/>
      <c r="F45" s="207"/>
    </row>
    <row r="46" spans="2:6" s="66" customFormat="1" x14ac:dyDescent="0.3">
      <c r="B46" s="207"/>
      <c r="C46" s="208"/>
      <c r="E46" s="209"/>
      <c r="F46" s="207"/>
    </row>
    <row r="47" spans="2:6" s="66" customFormat="1" x14ac:dyDescent="0.3">
      <c r="B47" s="207"/>
      <c r="C47" s="208"/>
      <c r="E47" s="209"/>
      <c r="F47" s="207"/>
    </row>
    <row r="48" spans="2:6" s="66" customFormat="1" x14ac:dyDescent="0.3">
      <c r="B48" s="207"/>
      <c r="C48" s="208"/>
      <c r="E48" s="209"/>
      <c r="F48" s="207"/>
    </row>
    <row r="49" spans="1:10" x14ac:dyDescent="0.3">
      <c r="A49" s="66"/>
      <c r="B49" s="207"/>
      <c r="C49" s="208"/>
      <c r="D49" s="66"/>
      <c r="E49" s="209"/>
      <c r="F49" s="207"/>
      <c r="G49" s="66"/>
      <c r="H49" s="66"/>
      <c r="I49" s="66"/>
      <c r="J49" s="66"/>
    </row>
    <row r="50" spans="1:10" x14ac:dyDescent="0.3">
      <c r="A50" s="66"/>
      <c r="B50" s="207"/>
      <c r="C50" s="208"/>
      <c r="D50" s="66"/>
      <c r="E50" s="209"/>
      <c r="F50" s="207"/>
      <c r="G50" s="66"/>
      <c r="H50" s="66"/>
      <c r="I50" s="66"/>
      <c r="J50" s="66"/>
    </row>
    <row r="51" spans="1:10" x14ac:dyDescent="0.3">
      <c r="A51" s="66"/>
      <c r="B51" s="207"/>
      <c r="C51" s="208"/>
      <c r="D51" s="66"/>
      <c r="E51" s="209"/>
      <c r="F51" s="207"/>
      <c r="G51" s="66"/>
      <c r="H51" s="66"/>
      <c r="I51" s="66"/>
      <c r="J51" s="66"/>
    </row>
    <row r="52" spans="1:10" x14ac:dyDescent="0.3">
      <c r="A52" s="66"/>
      <c r="B52" s="207"/>
      <c r="C52" s="208"/>
      <c r="D52" s="66"/>
      <c r="E52" s="209"/>
      <c r="F52" s="207"/>
      <c r="G52" s="66"/>
      <c r="H52" s="66"/>
      <c r="I52" s="66"/>
      <c r="J52" s="66"/>
    </row>
    <row r="53" spans="1:10" x14ac:dyDescent="0.3">
      <c r="A53" s="66"/>
      <c r="B53" s="207"/>
      <c r="C53" s="208"/>
      <c r="D53" s="66"/>
      <c r="E53" s="209"/>
      <c r="F53" s="207"/>
      <c r="G53" s="66"/>
      <c r="H53" s="66"/>
      <c r="I53" s="66"/>
      <c r="J53" s="66"/>
    </row>
    <row r="54" spans="1:10" x14ac:dyDescent="0.3">
      <c r="A54" s="66"/>
      <c r="B54" s="207"/>
      <c r="C54" s="208"/>
      <c r="D54" s="66"/>
      <c r="E54" s="209"/>
      <c r="F54" s="207"/>
      <c r="G54" s="66"/>
      <c r="H54" s="66"/>
      <c r="I54" s="66"/>
      <c r="J54" s="66"/>
    </row>
    <row r="55" spans="1:10" x14ac:dyDescent="0.3">
      <c r="A55" s="66"/>
      <c r="B55" s="207"/>
      <c r="C55" s="208"/>
      <c r="D55" s="66"/>
      <c r="E55" s="209"/>
      <c r="F55" s="207"/>
      <c r="G55" s="66"/>
      <c r="H55" s="66"/>
      <c r="I55" s="66"/>
      <c r="J55" s="66"/>
    </row>
    <row r="56" spans="1:10" x14ac:dyDescent="0.3">
      <c r="A56" s="66"/>
      <c r="B56" s="207"/>
      <c r="C56" s="208"/>
      <c r="D56" s="66"/>
      <c r="E56" s="209"/>
      <c r="F56" s="207"/>
      <c r="G56" s="66"/>
      <c r="H56" s="66"/>
      <c r="I56" s="66"/>
      <c r="J56" s="66"/>
    </row>
    <row r="57" spans="1:10" x14ac:dyDescent="0.3">
      <c r="A57" s="66"/>
      <c r="B57" s="207"/>
      <c r="C57" s="208"/>
      <c r="D57" s="66"/>
      <c r="E57" s="209"/>
      <c r="F57" s="207"/>
      <c r="G57" s="66"/>
      <c r="H57" s="66"/>
      <c r="I57" s="66"/>
      <c r="J57" s="66"/>
    </row>
    <row r="58" spans="1:10" x14ac:dyDescent="0.3">
      <c r="D58" s="66"/>
    </row>
    <row r="59" spans="1:10" x14ac:dyDescent="0.3">
      <c r="D59" s="66"/>
    </row>
    <row r="60" spans="1:10" x14ac:dyDescent="0.3">
      <c r="D60" s="66"/>
    </row>
    <row r="61" spans="1:10" x14ac:dyDescent="0.3">
      <c r="D61" s="66"/>
    </row>
    <row r="62" spans="1:10" x14ac:dyDescent="0.3">
      <c r="D62" s="66"/>
    </row>
    <row r="63" spans="1:10" x14ac:dyDescent="0.3">
      <c r="D63" s="66"/>
    </row>
    <row r="64" spans="1:10" x14ac:dyDescent="0.3">
      <c r="D64" s="66"/>
    </row>
    <row r="65" spans="4:4" x14ac:dyDescent="0.3">
      <c r="D65" s="66"/>
    </row>
    <row r="66" spans="4:4" x14ac:dyDescent="0.3">
      <c r="D66" s="66"/>
    </row>
    <row r="67" spans="4:4" x14ac:dyDescent="0.3">
      <c r="D67" s="66"/>
    </row>
    <row r="68" spans="4:4" x14ac:dyDescent="0.3">
      <c r="D68" s="66"/>
    </row>
    <row r="69" spans="4:4" x14ac:dyDescent="0.3">
      <c r="D69" s="66"/>
    </row>
    <row r="70" spans="4:4" x14ac:dyDescent="0.3">
      <c r="D70" s="66"/>
    </row>
  </sheetData>
  <mergeCells count="3">
    <mergeCell ref="A1:I1"/>
    <mergeCell ref="A2:E2"/>
    <mergeCell ref="J1:U2"/>
  </mergeCells>
  <phoneticPr fontId="10" type="noConversion"/>
  <pageMargins left="0.7" right="0.7" top="0.75" bottom="0.75" header="0.3" footer="0.3"/>
  <pageSetup paperSize="9" orientation="portrait" horizontalDpi="4294967293"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D2A2-87AB-48E6-AE4B-F52519CB2C1D}">
  <dimension ref="A1:U54"/>
  <sheetViews>
    <sheetView zoomScale="70" zoomScaleNormal="70" workbookViewId="0">
      <selection activeCell="A5" sqref="A5:U5"/>
    </sheetView>
  </sheetViews>
  <sheetFormatPr defaultColWidth="10.85546875" defaultRowHeight="16.5" x14ac:dyDescent="0.3"/>
  <cols>
    <col min="1" max="1" width="21.5703125" style="66" customWidth="1"/>
    <col min="2" max="2" width="14.85546875" style="66" customWidth="1"/>
    <col min="3" max="3" width="31.85546875" style="66" customWidth="1"/>
    <col min="4" max="4" width="74.85546875" style="66" customWidth="1"/>
    <col min="5" max="5" width="32.140625" style="66" bestFit="1" customWidth="1"/>
    <col min="6" max="6" width="10.85546875" style="76"/>
    <col min="7" max="7" width="26" style="76" customWidth="1"/>
    <col min="8" max="8" width="12.85546875" style="66" customWidth="1"/>
    <col min="9" max="9" width="23.28515625" style="66" customWidth="1"/>
    <col min="10" max="10" width="10.85546875" style="66"/>
    <col min="11" max="11" width="29.140625" style="76" bestFit="1" customWidth="1"/>
    <col min="12" max="12" width="23.28515625" style="76" bestFit="1" customWidth="1"/>
    <col min="13" max="13" width="24.140625" style="76" bestFit="1" customWidth="1"/>
    <col min="14" max="14" width="36.7109375" style="76" bestFit="1" customWidth="1"/>
    <col min="15" max="15" width="34.42578125" style="76" bestFit="1" customWidth="1"/>
    <col min="16" max="16" width="31.7109375" style="76" bestFit="1" customWidth="1"/>
    <col min="17" max="17" width="25.140625" style="76" bestFit="1" customWidth="1"/>
    <col min="18" max="18" width="30.5703125" style="76" bestFit="1" customWidth="1"/>
    <col min="19" max="19" width="22.28515625" style="76" bestFit="1" customWidth="1"/>
    <col min="20" max="20" width="21.28515625" style="66" bestFit="1" customWidth="1"/>
    <col min="21" max="21" width="25.5703125" style="66" bestFit="1" customWidth="1"/>
    <col min="22" max="16384" width="10.85546875" style="66"/>
  </cols>
  <sheetData>
    <row r="1" spans="1:21" ht="63" customHeight="1" x14ac:dyDescent="0.3">
      <c r="A1" s="247" t="s">
        <v>630</v>
      </c>
      <c r="B1" s="247"/>
      <c r="C1" s="247"/>
      <c r="D1" s="247"/>
      <c r="E1" s="247"/>
      <c r="F1" s="247"/>
      <c r="G1" s="247"/>
      <c r="H1" s="247"/>
      <c r="I1" s="247"/>
      <c r="J1" s="250"/>
      <c r="K1" s="250"/>
      <c r="L1" s="250"/>
      <c r="M1" s="250"/>
      <c r="N1" s="250"/>
      <c r="O1" s="250"/>
      <c r="P1" s="250"/>
      <c r="Q1" s="250"/>
      <c r="R1" s="250"/>
      <c r="S1" s="250"/>
      <c r="T1" s="250"/>
      <c r="U1" s="251"/>
    </row>
    <row r="2" spans="1:21" ht="17.25" x14ac:dyDescent="0.3">
      <c r="A2" s="248" t="s">
        <v>631</v>
      </c>
      <c r="B2" s="249"/>
      <c r="C2" s="249"/>
      <c r="D2" s="249"/>
      <c r="E2" s="249"/>
      <c r="F2" s="77"/>
      <c r="G2" s="77"/>
      <c r="H2" s="78"/>
      <c r="I2" s="79"/>
      <c r="J2" s="252"/>
      <c r="K2" s="252"/>
      <c r="L2" s="252"/>
      <c r="M2" s="252"/>
      <c r="N2" s="252"/>
      <c r="O2" s="252"/>
      <c r="P2" s="252"/>
      <c r="Q2" s="252"/>
      <c r="R2" s="252"/>
      <c r="S2" s="252"/>
      <c r="T2" s="252"/>
      <c r="U2" s="253"/>
    </row>
    <row r="3" spans="1:21" ht="54.6" customHeight="1" x14ac:dyDescent="0.3">
      <c r="A3" s="102" t="s">
        <v>105</v>
      </c>
      <c r="B3" s="67" t="s">
        <v>106</v>
      </c>
      <c r="C3" s="67" t="s">
        <v>107</v>
      </c>
      <c r="D3" s="67" t="s">
        <v>625</v>
      </c>
      <c r="E3" s="67" t="s">
        <v>626</v>
      </c>
      <c r="F3" s="67" t="s">
        <v>108</v>
      </c>
      <c r="G3" s="67" t="s">
        <v>109</v>
      </c>
      <c r="H3" s="67" t="s">
        <v>468</v>
      </c>
      <c r="I3" s="67" t="s">
        <v>627</v>
      </c>
      <c r="J3" s="67" t="s">
        <v>628</v>
      </c>
      <c r="K3" s="68" t="s">
        <v>692</v>
      </c>
      <c r="L3" s="68" t="s">
        <v>693</v>
      </c>
      <c r="M3" s="68" t="s">
        <v>699</v>
      </c>
      <c r="N3" s="68" t="s">
        <v>696</v>
      </c>
      <c r="O3" s="68" t="s">
        <v>694</v>
      </c>
      <c r="P3" s="68" t="s">
        <v>695</v>
      </c>
      <c r="Q3" s="68" t="s">
        <v>697</v>
      </c>
      <c r="R3" s="68" t="s">
        <v>698</v>
      </c>
      <c r="S3" s="68" t="s">
        <v>629</v>
      </c>
      <c r="T3" s="99" t="s">
        <v>110</v>
      </c>
      <c r="U3" s="100" t="s">
        <v>111</v>
      </c>
    </row>
    <row r="4" spans="1:21" ht="49.5" x14ac:dyDescent="0.3">
      <c r="A4" s="220" t="s">
        <v>477</v>
      </c>
      <c r="B4" s="221" t="s">
        <v>478</v>
      </c>
      <c r="C4" s="222"/>
      <c r="D4" s="222" t="s">
        <v>951</v>
      </c>
      <c r="E4" s="224"/>
      <c r="F4" s="223"/>
      <c r="G4" s="224" t="s">
        <v>587</v>
      </c>
      <c r="H4" s="134"/>
      <c r="I4" s="134"/>
      <c r="J4" s="134"/>
      <c r="K4" s="223"/>
      <c r="L4" s="223"/>
      <c r="M4" s="223"/>
      <c r="N4" s="223"/>
      <c r="O4" s="223"/>
      <c r="P4" s="223"/>
      <c r="Q4" s="223"/>
      <c r="R4" s="223"/>
      <c r="S4" s="223"/>
      <c r="T4" s="134"/>
      <c r="U4" s="218"/>
    </row>
    <row r="5" spans="1:21" ht="49.5" x14ac:dyDescent="0.3">
      <c r="A5" s="225" t="s">
        <v>479</v>
      </c>
      <c r="B5" s="226" t="s">
        <v>478</v>
      </c>
      <c r="C5" s="227"/>
      <c r="D5" s="227" t="s">
        <v>952</v>
      </c>
      <c r="E5" s="217"/>
      <c r="F5" s="228"/>
      <c r="G5" s="217" t="s">
        <v>587</v>
      </c>
      <c r="H5" s="134"/>
      <c r="I5" s="134"/>
      <c r="J5" s="134"/>
      <c r="K5" s="229" t="s">
        <v>537</v>
      </c>
      <c r="L5" s="229" t="s">
        <v>537</v>
      </c>
      <c r="M5" s="229"/>
      <c r="N5" s="229"/>
      <c r="O5" s="229" t="s">
        <v>537</v>
      </c>
      <c r="P5" s="229" t="s">
        <v>537</v>
      </c>
      <c r="Q5" s="229" t="s">
        <v>537</v>
      </c>
      <c r="R5" s="229"/>
      <c r="S5" s="229" t="s">
        <v>537</v>
      </c>
      <c r="T5" s="134"/>
      <c r="U5" s="218"/>
    </row>
    <row r="6" spans="1:21" x14ac:dyDescent="0.3">
      <c r="A6" s="80"/>
      <c r="B6" s="70"/>
      <c r="C6" s="69"/>
      <c r="D6" s="70"/>
      <c r="E6" s="69"/>
      <c r="F6" s="81"/>
      <c r="G6" s="82"/>
      <c r="H6" s="70"/>
      <c r="I6" s="70"/>
      <c r="J6" s="86"/>
      <c r="K6" s="84"/>
      <c r="L6" s="84"/>
      <c r="M6" s="84"/>
      <c r="N6" s="84"/>
      <c r="O6" s="84"/>
      <c r="P6" s="84"/>
      <c r="Q6" s="83"/>
      <c r="R6" s="83"/>
      <c r="S6" s="83"/>
      <c r="T6" s="87"/>
      <c r="U6" s="88"/>
    </row>
    <row r="7" spans="1:21" x14ac:dyDescent="0.3">
      <c r="A7" s="80"/>
      <c r="B7" s="70"/>
      <c r="C7" s="69"/>
      <c r="D7" s="70"/>
      <c r="E7" s="69"/>
      <c r="F7" s="81"/>
      <c r="G7" s="89"/>
      <c r="H7" s="70"/>
      <c r="I7" s="70"/>
      <c r="J7" s="86"/>
      <c r="K7" s="84"/>
      <c r="L7" s="84"/>
      <c r="M7" s="84"/>
      <c r="N7" s="84"/>
      <c r="O7" s="84"/>
      <c r="P7" s="84"/>
      <c r="Q7" s="83"/>
      <c r="R7" s="83"/>
      <c r="S7" s="83"/>
      <c r="T7" s="87"/>
      <c r="U7" s="88"/>
    </row>
    <row r="8" spans="1:21" x14ac:dyDescent="0.3">
      <c r="A8" s="80"/>
      <c r="B8" s="70"/>
      <c r="C8" s="69"/>
      <c r="D8" s="70"/>
      <c r="E8" s="69"/>
      <c r="F8" s="81"/>
      <c r="G8" s="81"/>
      <c r="H8" s="70"/>
      <c r="I8" s="70"/>
      <c r="J8" s="86"/>
      <c r="K8" s="84"/>
      <c r="L8" s="84"/>
      <c r="M8" s="84"/>
      <c r="N8" s="84"/>
      <c r="O8" s="84"/>
      <c r="P8" s="84"/>
      <c r="Q8" s="83"/>
      <c r="R8" s="83"/>
      <c r="S8" s="83"/>
      <c r="T8" s="87"/>
      <c r="U8" s="88"/>
    </row>
    <row r="9" spans="1:21" x14ac:dyDescent="0.3">
      <c r="A9" s="80"/>
      <c r="B9" s="70"/>
      <c r="C9" s="69"/>
      <c r="D9" s="70"/>
      <c r="E9" s="69"/>
      <c r="F9" s="81"/>
      <c r="G9" s="82"/>
      <c r="H9" s="70"/>
      <c r="I9" s="70"/>
      <c r="J9" s="86"/>
      <c r="K9" s="81"/>
      <c r="L9" s="81"/>
      <c r="M9" s="81"/>
      <c r="N9" s="81"/>
      <c r="O9" s="81"/>
      <c r="P9" s="81"/>
      <c r="Q9" s="101"/>
      <c r="R9" s="101"/>
      <c r="S9" s="101"/>
      <c r="T9" s="87"/>
      <c r="U9" s="88"/>
    </row>
    <row r="10" spans="1:21" x14ac:dyDescent="0.3">
      <c r="A10" s="80"/>
      <c r="B10" s="70"/>
      <c r="C10" s="69"/>
      <c r="D10" s="70"/>
      <c r="E10" s="69"/>
      <c r="F10" s="81"/>
      <c r="G10" s="81"/>
      <c r="H10" s="70"/>
      <c r="I10" s="70"/>
      <c r="J10" s="86"/>
      <c r="K10" s="81"/>
      <c r="L10" s="81"/>
      <c r="M10" s="81"/>
      <c r="N10" s="81"/>
      <c r="O10" s="81"/>
      <c r="P10" s="81"/>
      <c r="Q10" s="101"/>
      <c r="R10" s="101"/>
      <c r="S10" s="101"/>
      <c r="T10" s="87"/>
      <c r="U10" s="88"/>
    </row>
    <row r="11" spans="1:21" x14ac:dyDescent="0.3">
      <c r="A11" s="80"/>
      <c r="B11" s="70"/>
      <c r="C11" s="69"/>
      <c r="D11" s="70"/>
      <c r="E11" s="69"/>
      <c r="F11" s="81"/>
      <c r="G11" s="81"/>
      <c r="H11" s="70"/>
      <c r="I11" s="70"/>
      <c r="J11" s="86"/>
      <c r="K11" s="84"/>
      <c r="L11" s="84"/>
      <c r="M11" s="84"/>
      <c r="N11" s="84"/>
      <c r="O11" s="84"/>
      <c r="P11" s="84"/>
      <c r="Q11" s="83"/>
      <c r="R11" s="83"/>
      <c r="S11" s="83"/>
      <c r="T11" s="87"/>
      <c r="U11" s="88"/>
    </row>
    <row r="12" spans="1:21" x14ac:dyDescent="0.3">
      <c r="A12" s="80"/>
      <c r="B12" s="70"/>
      <c r="C12" s="69"/>
      <c r="D12" s="70"/>
      <c r="E12" s="69"/>
      <c r="F12" s="81"/>
      <c r="G12" s="81"/>
      <c r="H12" s="70"/>
      <c r="I12" s="70"/>
      <c r="J12" s="86"/>
      <c r="K12" s="84"/>
      <c r="L12" s="84"/>
      <c r="M12" s="84"/>
      <c r="N12" s="84"/>
      <c r="O12" s="84"/>
      <c r="P12" s="84"/>
      <c r="Q12" s="83"/>
      <c r="R12" s="83"/>
      <c r="S12" s="83"/>
      <c r="T12" s="87"/>
      <c r="U12" s="88"/>
    </row>
    <row r="13" spans="1:21" x14ac:dyDescent="0.3">
      <c r="A13" s="80"/>
      <c r="B13" s="70"/>
      <c r="C13" s="69"/>
      <c r="D13" s="70"/>
      <c r="E13" s="69"/>
      <c r="F13" s="81"/>
      <c r="G13" s="81"/>
      <c r="H13" s="70"/>
      <c r="I13" s="70"/>
      <c r="J13" s="86"/>
      <c r="K13" s="84"/>
      <c r="L13" s="84"/>
      <c r="M13" s="84"/>
      <c r="N13" s="84"/>
      <c r="O13" s="84"/>
      <c r="P13" s="84"/>
      <c r="Q13" s="83"/>
      <c r="R13" s="83"/>
      <c r="S13" s="83"/>
      <c r="T13" s="87"/>
      <c r="U13" s="88"/>
    </row>
    <row r="14" spans="1:21" x14ac:dyDescent="0.3">
      <c r="A14" s="80"/>
      <c r="B14" s="70"/>
      <c r="C14" s="69"/>
      <c r="D14" s="70"/>
      <c r="E14" s="69"/>
      <c r="F14" s="81"/>
      <c r="G14" s="81"/>
      <c r="H14" s="70"/>
      <c r="I14" s="70"/>
      <c r="J14" s="86"/>
      <c r="K14" s="84"/>
      <c r="L14" s="84"/>
      <c r="M14" s="84"/>
      <c r="N14" s="84"/>
      <c r="O14" s="84"/>
      <c r="P14" s="84"/>
      <c r="Q14" s="83"/>
      <c r="R14" s="83"/>
      <c r="S14" s="83"/>
      <c r="T14" s="87"/>
      <c r="U14" s="88"/>
    </row>
    <row r="15" spans="1:21" x14ac:dyDescent="0.3">
      <c r="A15" s="80"/>
      <c r="B15" s="70"/>
      <c r="C15" s="69"/>
      <c r="D15" s="70"/>
      <c r="E15" s="69"/>
      <c r="F15" s="81"/>
      <c r="G15" s="81"/>
      <c r="H15" s="70"/>
      <c r="I15" s="70"/>
      <c r="J15" s="86"/>
      <c r="K15" s="84"/>
      <c r="L15" s="84"/>
      <c r="M15" s="84"/>
      <c r="N15" s="84"/>
      <c r="O15" s="84"/>
      <c r="P15" s="84"/>
      <c r="Q15" s="83"/>
      <c r="R15" s="83"/>
      <c r="S15" s="83"/>
      <c r="T15" s="87"/>
      <c r="U15" s="88"/>
    </row>
    <row r="16" spans="1:21" x14ac:dyDescent="0.3">
      <c r="A16" s="80"/>
      <c r="B16" s="70"/>
      <c r="C16" s="69"/>
      <c r="D16" s="70"/>
      <c r="E16" s="69"/>
      <c r="F16" s="81"/>
      <c r="G16" s="81"/>
      <c r="H16" s="70"/>
      <c r="I16" s="70"/>
      <c r="J16" s="86"/>
      <c r="K16" s="84"/>
      <c r="L16" s="84"/>
      <c r="M16" s="84"/>
      <c r="N16" s="84"/>
      <c r="O16" s="84"/>
      <c r="P16" s="84"/>
      <c r="Q16" s="83"/>
      <c r="R16" s="83"/>
      <c r="S16" s="83"/>
      <c r="T16" s="87"/>
      <c r="U16" s="88"/>
    </row>
    <row r="17" spans="1:21" x14ac:dyDescent="0.3">
      <c r="A17" s="80"/>
      <c r="B17" s="70"/>
      <c r="C17" s="69"/>
      <c r="D17" s="70"/>
      <c r="E17" s="69"/>
      <c r="F17" s="81"/>
      <c r="G17" s="82"/>
      <c r="H17" s="70"/>
      <c r="I17" s="70"/>
      <c r="J17" s="86"/>
      <c r="K17" s="84"/>
      <c r="L17" s="84"/>
      <c r="M17" s="84"/>
      <c r="N17" s="84"/>
      <c r="O17" s="84"/>
      <c r="P17" s="84"/>
      <c r="Q17" s="83"/>
      <c r="R17" s="83"/>
      <c r="S17" s="83"/>
      <c r="T17" s="87"/>
      <c r="U17" s="88"/>
    </row>
    <row r="18" spans="1:21" x14ac:dyDescent="0.3">
      <c r="A18" s="80"/>
      <c r="B18" s="70"/>
      <c r="C18" s="69"/>
      <c r="D18" s="70"/>
      <c r="E18" s="69"/>
      <c r="F18" s="81"/>
      <c r="G18" s="82"/>
      <c r="H18" s="70"/>
      <c r="I18" s="70"/>
      <c r="J18" s="86"/>
      <c r="K18" s="84"/>
      <c r="L18" s="84"/>
      <c r="M18" s="84"/>
      <c r="N18" s="84"/>
      <c r="O18" s="84"/>
      <c r="P18" s="84"/>
      <c r="Q18" s="83"/>
      <c r="R18" s="83"/>
      <c r="S18" s="83"/>
      <c r="T18" s="87"/>
      <c r="U18" s="88"/>
    </row>
    <row r="19" spans="1:21" x14ac:dyDescent="0.3">
      <c r="A19" s="80"/>
      <c r="B19" s="70"/>
      <c r="C19" s="69"/>
      <c r="D19" s="70"/>
      <c r="E19" s="69"/>
      <c r="F19" s="90"/>
      <c r="G19" s="82"/>
      <c r="H19" s="70"/>
      <c r="I19" s="70"/>
      <c r="J19" s="86"/>
      <c r="K19" s="84"/>
      <c r="L19" s="84"/>
      <c r="M19" s="84"/>
      <c r="N19" s="84"/>
      <c r="O19" s="84"/>
      <c r="P19" s="84"/>
      <c r="Q19" s="83"/>
      <c r="R19" s="83"/>
      <c r="S19" s="83"/>
      <c r="T19" s="87"/>
      <c r="U19" s="88"/>
    </row>
    <row r="20" spans="1:21" x14ac:dyDescent="0.3">
      <c r="A20" s="80"/>
      <c r="B20" s="70"/>
      <c r="C20" s="69"/>
      <c r="D20" s="70"/>
      <c r="E20" s="69"/>
      <c r="F20" s="81"/>
      <c r="G20" s="82"/>
      <c r="H20" s="70"/>
      <c r="I20" s="70"/>
      <c r="J20" s="86"/>
      <c r="K20" s="84"/>
      <c r="L20" s="84"/>
      <c r="M20" s="84"/>
      <c r="N20" s="84"/>
      <c r="O20" s="84"/>
      <c r="P20" s="84"/>
      <c r="Q20" s="83"/>
      <c r="R20" s="83"/>
      <c r="S20" s="83"/>
      <c r="T20" s="87"/>
      <c r="U20" s="88"/>
    </row>
    <row r="21" spans="1:21" x14ac:dyDescent="0.3">
      <c r="A21" s="80"/>
      <c r="B21" s="70"/>
      <c r="C21" s="69"/>
      <c r="D21" s="70"/>
      <c r="E21" s="69"/>
      <c r="F21" s="81"/>
      <c r="G21" s="89"/>
      <c r="H21" s="70"/>
      <c r="I21" s="70"/>
      <c r="J21" s="86"/>
      <c r="K21" s="84"/>
      <c r="L21" s="84"/>
      <c r="M21" s="84"/>
      <c r="N21" s="84"/>
      <c r="O21" s="84"/>
      <c r="P21" s="84"/>
      <c r="Q21" s="83"/>
      <c r="R21" s="83"/>
      <c r="S21" s="83"/>
      <c r="T21" s="87"/>
      <c r="U21" s="88"/>
    </row>
    <row r="22" spans="1:21" x14ac:dyDescent="0.3">
      <c r="A22" s="80"/>
      <c r="B22" s="70"/>
      <c r="C22" s="69"/>
      <c r="D22" s="70"/>
      <c r="E22" s="69"/>
      <c r="F22" s="81"/>
      <c r="G22" s="82"/>
      <c r="H22" s="70"/>
      <c r="I22" s="70"/>
      <c r="J22" s="86"/>
      <c r="K22" s="84"/>
      <c r="L22" s="84"/>
      <c r="M22" s="84"/>
      <c r="N22" s="84"/>
      <c r="O22" s="84"/>
      <c r="P22" s="84"/>
      <c r="Q22" s="83"/>
      <c r="R22" s="83"/>
      <c r="S22" s="83"/>
      <c r="T22" s="87"/>
      <c r="U22" s="88"/>
    </row>
    <row r="23" spans="1:21" x14ac:dyDescent="0.3">
      <c r="A23" s="80"/>
      <c r="B23" s="70"/>
      <c r="C23" s="69"/>
      <c r="D23" s="70"/>
      <c r="E23" s="69"/>
      <c r="F23" s="81"/>
      <c r="G23" s="89"/>
      <c r="H23" s="91"/>
      <c r="I23" s="91"/>
      <c r="J23" s="91"/>
      <c r="K23" s="81"/>
      <c r="L23" s="81"/>
      <c r="M23" s="81"/>
      <c r="N23" s="81"/>
      <c r="O23" s="81"/>
      <c r="P23" s="81"/>
      <c r="Q23" s="83"/>
      <c r="R23" s="101"/>
      <c r="S23" s="83"/>
      <c r="T23" s="91"/>
      <c r="U23" s="92"/>
    </row>
    <row r="24" spans="1:21" x14ac:dyDescent="0.3">
      <c r="A24" s="80"/>
      <c r="B24" s="70"/>
      <c r="C24" s="69"/>
      <c r="D24" s="70"/>
      <c r="E24" s="69"/>
      <c r="F24" s="81"/>
      <c r="G24" s="82"/>
      <c r="H24" s="91"/>
      <c r="I24" s="91"/>
      <c r="J24" s="91"/>
      <c r="K24" s="81"/>
      <c r="L24" s="81"/>
      <c r="M24" s="81"/>
      <c r="N24" s="81"/>
      <c r="O24" s="81"/>
      <c r="P24" s="81"/>
      <c r="Q24" s="83"/>
      <c r="R24" s="101"/>
      <c r="S24" s="83"/>
      <c r="T24" s="91"/>
      <c r="U24" s="92"/>
    </row>
    <row r="25" spans="1:21" x14ac:dyDescent="0.3">
      <c r="A25" s="80"/>
      <c r="B25" s="70"/>
      <c r="C25" s="69"/>
      <c r="D25" s="70"/>
      <c r="E25" s="69"/>
      <c r="F25" s="81"/>
      <c r="G25" s="89"/>
      <c r="H25" s="91"/>
      <c r="I25" s="91"/>
      <c r="J25" s="91"/>
      <c r="K25" s="81"/>
      <c r="L25" s="81"/>
      <c r="M25" s="81"/>
      <c r="N25" s="81"/>
      <c r="O25" s="81"/>
      <c r="P25" s="81"/>
      <c r="Q25" s="83"/>
      <c r="R25" s="101"/>
      <c r="S25" s="83"/>
      <c r="T25" s="91"/>
      <c r="U25" s="92"/>
    </row>
    <row r="26" spans="1:21" x14ac:dyDescent="0.3">
      <c r="A26" s="80"/>
      <c r="B26" s="70"/>
      <c r="C26" s="69"/>
      <c r="D26" s="70"/>
      <c r="E26" s="69"/>
      <c r="F26" s="81"/>
      <c r="G26" s="82"/>
      <c r="H26" s="91"/>
      <c r="I26" s="91"/>
      <c r="J26" s="91"/>
      <c r="K26" s="81"/>
      <c r="L26" s="81"/>
      <c r="M26" s="81"/>
      <c r="N26" s="81"/>
      <c r="O26" s="81"/>
      <c r="P26" s="81"/>
      <c r="Q26" s="83"/>
      <c r="R26" s="101"/>
      <c r="S26" s="83"/>
      <c r="T26" s="91"/>
      <c r="U26" s="92"/>
    </row>
    <row r="27" spans="1:21" x14ac:dyDescent="0.3">
      <c r="A27" s="80"/>
      <c r="B27" s="70"/>
      <c r="C27" s="69"/>
      <c r="D27" s="70"/>
      <c r="E27" s="69"/>
      <c r="F27" s="81"/>
      <c r="G27" s="82"/>
      <c r="H27" s="91"/>
      <c r="I27" s="91"/>
      <c r="J27" s="91"/>
      <c r="K27" s="81"/>
      <c r="L27" s="81"/>
      <c r="M27" s="81"/>
      <c r="N27" s="81"/>
      <c r="O27" s="81"/>
      <c r="P27" s="81"/>
      <c r="Q27" s="83"/>
      <c r="R27" s="101"/>
      <c r="S27" s="83"/>
      <c r="T27" s="91"/>
      <c r="U27" s="92"/>
    </row>
    <row r="28" spans="1:21" x14ac:dyDescent="0.3">
      <c r="A28" s="80"/>
      <c r="B28" s="70"/>
      <c r="C28" s="69"/>
      <c r="D28" s="70"/>
      <c r="E28" s="69"/>
      <c r="F28" s="81"/>
      <c r="G28" s="82"/>
      <c r="H28" s="91"/>
      <c r="I28" s="91"/>
      <c r="J28" s="91"/>
      <c r="K28" s="81"/>
      <c r="L28" s="81"/>
      <c r="M28" s="81"/>
      <c r="N28" s="81"/>
      <c r="O28" s="81"/>
      <c r="P28" s="81"/>
      <c r="Q28" s="83"/>
      <c r="R28" s="101"/>
      <c r="S28" s="83"/>
      <c r="T28" s="91"/>
      <c r="U28" s="92"/>
    </row>
    <row r="29" spans="1:21" x14ac:dyDescent="0.3">
      <c r="A29" s="80"/>
      <c r="B29" s="70"/>
      <c r="C29" s="69"/>
      <c r="D29" s="70"/>
      <c r="E29" s="69"/>
      <c r="F29" s="81"/>
      <c r="G29" s="82"/>
      <c r="H29" s="91"/>
      <c r="I29" s="91"/>
      <c r="J29" s="91"/>
      <c r="K29" s="81"/>
      <c r="L29" s="81"/>
      <c r="M29" s="81"/>
      <c r="N29" s="81"/>
      <c r="O29" s="81"/>
      <c r="P29" s="81"/>
      <c r="Q29" s="83"/>
      <c r="R29" s="101"/>
      <c r="S29" s="83"/>
      <c r="T29" s="91"/>
      <c r="U29" s="92"/>
    </row>
    <row r="30" spans="1:21" x14ac:dyDescent="0.3">
      <c r="A30" s="80"/>
      <c r="B30" s="70"/>
      <c r="C30" s="69"/>
      <c r="D30" s="70"/>
      <c r="E30" s="69"/>
      <c r="F30" s="81"/>
      <c r="G30" s="81"/>
      <c r="H30" s="91"/>
      <c r="I30" s="91"/>
      <c r="J30" s="91"/>
      <c r="K30" s="81"/>
      <c r="L30" s="81"/>
      <c r="M30" s="81"/>
      <c r="N30" s="81"/>
      <c r="O30" s="81"/>
      <c r="P30" s="81"/>
      <c r="Q30" s="83"/>
      <c r="R30" s="101"/>
      <c r="S30" s="83"/>
      <c r="T30" s="91"/>
      <c r="U30" s="92"/>
    </row>
    <row r="31" spans="1:21" x14ac:dyDescent="0.3">
      <c r="A31" s="80"/>
      <c r="B31" s="70"/>
      <c r="C31" s="69"/>
      <c r="D31" s="70"/>
      <c r="E31" s="69"/>
      <c r="F31" s="81"/>
      <c r="G31" s="82"/>
      <c r="H31" s="91"/>
      <c r="I31" s="91"/>
      <c r="J31" s="91"/>
      <c r="K31" s="81"/>
      <c r="L31" s="81"/>
      <c r="M31" s="81"/>
      <c r="N31" s="81"/>
      <c r="O31" s="81"/>
      <c r="P31" s="81"/>
      <c r="Q31" s="83"/>
      <c r="R31" s="101"/>
      <c r="S31" s="83"/>
      <c r="T31" s="91"/>
      <c r="U31" s="92"/>
    </row>
    <row r="32" spans="1:21" x14ac:dyDescent="0.3">
      <c r="A32" s="80"/>
      <c r="B32" s="70"/>
      <c r="C32" s="69"/>
      <c r="D32" s="70"/>
      <c r="E32" s="69"/>
      <c r="F32" s="81"/>
      <c r="G32" s="81"/>
      <c r="H32" s="91"/>
      <c r="I32" s="91"/>
      <c r="J32" s="91"/>
      <c r="K32" s="81"/>
      <c r="L32" s="81"/>
      <c r="M32" s="81"/>
      <c r="N32" s="81"/>
      <c r="O32" s="81"/>
      <c r="P32" s="81"/>
      <c r="Q32" s="83"/>
      <c r="R32" s="101"/>
      <c r="S32" s="83"/>
      <c r="T32" s="91"/>
      <c r="U32" s="92"/>
    </row>
    <row r="33" spans="1:21" x14ac:dyDescent="0.3">
      <c r="A33" s="80"/>
      <c r="B33" s="70"/>
      <c r="C33" s="69"/>
      <c r="D33" s="70"/>
      <c r="E33" s="69"/>
      <c r="F33" s="81"/>
      <c r="G33" s="93"/>
      <c r="H33" s="91"/>
      <c r="I33" s="91"/>
      <c r="J33" s="91"/>
      <c r="K33" s="81"/>
      <c r="L33" s="81"/>
      <c r="M33" s="81"/>
      <c r="N33" s="81"/>
      <c r="O33" s="81"/>
      <c r="P33" s="81"/>
      <c r="Q33" s="83"/>
      <c r="R33" s="101"/>
      <c r="S33" s="83"/>
      <c r="T33" s="91"/>
      <c r="U33" s="92"/>
    </row>
    <row r="34" spans="1:21" x14ac:dyDescent="0.3">
      <c r="A34" s="80"/>
      <c r="B34" s="70"/>
      <c r="C34" s="69"/>
      <c r="D34" s="70"/>
      <c r="E34" s="69"/>
      <c r="F34" s="81"/>
      <c r="G34" s="82"/>
      <c r="H34" s="91"/>
      <c r="I34" s="91"/>
      <c r="J34" s="91"/>
      <c r="K34" s="81"/>
      <c r="L34" s="81"/>
      <c r="M34" s="81"/>
      <c r="N34" s="81"/>
      <c r="O34" s="81"/>
      <c r="P34" s="81"/>
      <c r="Q34" s="83"/>
      <c r="R34" s="101"/>
      <c r="S34" s="83"/>
      <c r="T34" s="91"/>
      <c r="U34" s="92"/>
    </row>
    <row r="35" spans="1:21" x14ac:dyDescent="0.3">
      <c r="A35" s="80"/>
      <c r="B35" s="70"/>
      <c r="C35" s="69"/>
      <c r="D35" s="70"/>
      <c r="E35" s="69"/>
      <c r="F35" s="81"/>
      <c r="G35" s="82"/>
      <c r="H35" s="91"/>
      <c r="I35" s="91"/>
      <c r="J35" s="91"/>
      <c r="K35" s="81"/>
      <c r="L35" s="81"/>
      <c r="M35" s="81"/>
      <c r="N35" s="81"/>
      <c r="O35" s="81"/>
      <c r="P35" s="81"/>
      <c r="Q35" s="83"/>
      <c r="R35" s="101"/>
      <c r="S35" s="83"/>
      <c r="T35" s="91"/>
      <c r="U35" s="92"/>
    </row>
    <row r="36" spans="1:21" x14ac:dyDescent="0.3">
      <c r="A36" s="80"/>
      <c r="B36" s="70"/>
      <c r="C36" s="69"/>
      <c r="D36" s="70"/>
      <c r="E36" s="69"/>
      <c r="F36" s="81"/>
      <c r="G36" s="82"/>
      <c r="H36" s="91"/>
      <c r="I36" s="91"/>
      <c r="J36" s="91"/>
      <c r="K36" s="81"/>
      <c r="L36" s="81"/>
      <c r="M36" s="81"/>
      <c r="N36" s="81"/>
      <c r="O36" s="81"/>
      <c r="P36" s="81"/>
      <c r="Q36" s="83"/>
      <c r="R36" s="101"/>
      <c r="S36" s="83"/>
      <c r="T36" s="91"/>
      <c r="U36" s="92"/>
    </row>
    <row r="37" spans="1:21" x14ac:dyDescent="0.3">
      <c r="A37" s="80"/>
      <c r="B37" s="70"/>
      <c r="C37" s="69"/>
      <c r="D37" s="70"/>
      <c r="E37" s="69"/>
      <c r="F37" s="81"/>
      <c r="G37" s="82"/>
      <c r="H37" s="91"/>
      <c r="I37" s="91"/>
      <c r="J37" s="91"/>
      <c r="K37" s="81"/>
      <c r="L37" s="81"/>
      <c r="M37" s="81"/>
      <c r="N37" s="81"/>
      <c r="O37" s="81"/>
      <c r="P37" s="81"/>
      <c r="Q37" s="83"/>
      <c r="R37" s="101"/>
      <c r="S37" s="83"/>
      <c r="T37" s="91"/>
      <c r="U37" s="92"/>
    </row>
    <row r="38" spans="1:21" x14ac:dyDescent="0.3">
      <c r="A38" s="80"/>
      <c r="B38" s="70"/>
      <c r="C38" s="69"/>
      <c r="D38" s="70"/>
      <c r="E38" s="69"/>
      <c r="F38" s="81"/>
      <c r="G38" s="82"/>
      <c r="H38" s="91"/>
      <c r="I38" s="91"/>
      <c r="J38" s="91"/>
      <c r="K38" s="81"/>
      <c r="L38" s="81"/>
      <c r="M38" s="81"/>
      <c r="N38" s="81"/>
      <c r="O38" s="81"/>
      <c r="P38" s="81"/>
      <c r="Q38" s="83"/>
      <c r="R38" s="101"/>
      <c r="S38" s="83"/>
      <c r="T38" s="91"/>
      <c r="U38" s="92"/>
    </row>
    <row r="39" spans="1:21" x14ac:dyDescent="0.3">
      <c r="A39" s="80"/>
      <c r="B39" s="70"/>
      <c r="C39" s="69"/>
      <c r="D39" s="70"/>
      <c r="E39" s="69"/>
      <c r="F39" s="81"/>
      <c r="G39" s="82"/>
      <c r="H39" s="91"/>
      <c r="I39" s="91"/>
      <c r="J39" s="91"/>
      <c r="K39" s="81"/>
      <c r="L39" s="81"/>
      <c r="M39" s="81"/>
      <c r="N39" s="81"/>
      <c r="O39" s="81"/>
      <c r="P39" s="81"/>
      <c r="Q39" s="83"/>
      <c r="R39" s="101"/>
      <c r="S39" s="83"/>
      <c r="T39" s="91"/>
      <c r="U39" s="92"/>
    </row>
    <row r="40" spans="1:21" x14ac:dyDescent="0.3">
      <c r="A40" s="80"/>
      <c r="B40" s="70"/>
      <c r="C40" s="69"/>
      <c r="D40" s="70"/>
      <c r="E40" s="69"/>
      <c r="F40" s="81"/>
      <c r="G40" s="89"/>
      <c r="H40" s="91"/>
      <c r="I40" s="91"/>
      <c r="J40" s="91"/>
      <c r="K40" s="81"/>
      <c r="L40" s="81"/>
      <c r="M40" s="81"/>
      <c r="N40" s="81"/>
      <c r="O40" s="81"/>
      <c r="P40" s="81"/>
      <c r="Q40" s="83"/>
      <c r="R40" s="101"/>
      <c r="S40" s="83"/>
      <c r="T40" s="91"/>
      <c r="U40" s="92"/>
    </row>
    <row r="41" spans="1:21" x14ac:dyDescent="0.3">
      <c r="A41" s="80"/>
      <c r="B41" s="70"/>
      <c r="C41" s="69"/>
      <c r="D41" s="70"/>
      <c r="E41" s="69"/>
      <c r="F41" s="81"/>
      <c r="G41" s="89"/>
      <c r="H41" s="91"/>
      <c r="I41" s="91"/>
      <c r="J41" s="91"/>
      <c r="K41" s="81"/>
      <c r="L41" s="81"/>
      <c r="M41" s="81"/>
      <c r="N41" s="81"/>
      <c r="O41" s="81"/>
      <c r="P41" s="81"/>
      <c r="Q41" s="83"/>
      <c r="R41" s="101"/>
      <c r="S41" s="83"/>
      <c r="T41" s="91"/>
      <c r="U41" s="92"/>
    </row>
    <row r="42" spans="1:21" x14ac:dyDescent="0.3">
      <c r="A42" s="80"/>
      <c r="B42" s="70"/>
      <c r="C42" s="69"/>
      <c r="D42" s="70"/>
      <c r="E42" s="69"/>
      <c r="F42" s="81"/>
      <c r="G42" s="82"/>
      <c r="H42" s="91"/>
      <c r="I42" s="91"/>
      <c r="J42" s="91"/>
      <c r="K42" s="81"/>
      <c r="L42" s="81"/>
      <c r="M42" s="81"/>
      <c r="N42" s="81"/>
      <c r="O42" s="81"/>
      <c r="P42" s="81"/>
      <c r="Q42" s="83"/>
      <c r="R42" s="101"/>
      <c r="S42" s="83"/>
      <c r="T42" s="91"/>
      <c r="U42" s="92"/>
    </row>
    <row r="43" spans="1:21" x14ac:dyDescent="0.3">
      <c r="A43" s="80"/>
      <c r="B43" s="70"/>
      <c r="C43" s="69"/>
      <c r="D43" s="70"/>
      <c r="E43" s="69"/>
      <c r="F43" s="81"/>
      <c r="G43" s="82"/>
      <c r="H43" s="91"/>
      <c r="I43" s="91"/>
      <c r="J43" s="91"/>
      <c r="K43" s="81"/>
      <c r="L43" s="81"/>
      <c r="M43" s="81"/>
      <c r="N43" s="81"/>
      <c r="O43" s="81"/>
      <c r="P43" s="81"/>
      <c r="Q43" s="83"/>
      <c r="R43" s="101"/>
      <c r="S43" s="83"/>
      <c r="T43" s="91"/>
      <c r="U43" s="92"/>
    </row>
    <row r="44" spans="1:21" x14ac:dyDescent="0.3">
      <c r="A44" s="80"/>
      <c r="B44" s="70"/>
      <c r="C44" s="69"/>
      <c r="D44" s="70"/>
      <c r="E44" s="69"/>
      <c r="F44" s="81"/>
      <c r="G44" s="82"/>
      <c r="H44" s="91"/>
      <c r="I44" s="91"/>
      <c r="J44" s="91"/>
      <c r="K44" s="81"/>
      <c r="L44" s="81"/>
      <c r="M44" s="81"/>
      <c r="N44" s="81"/>
      <c r="O44" s="81"/>
      <c r="P44" s="81"/>
      <c r="Q44" s="83"/>
      <c r="R44" s="101"/>
      <c r="S44" s="83"/>
      <c r="T44" s="91"/>
      <c r="U44" s="92"/>
    </row>
    <row r="45" spans="1:21" x14ac:dyDescent="0.3">
      <c r="A45" s="80"/>
      <c r="B45" s="70"/>
      <c r="C45" s="69"/>
      <c r="D45" s="70"/>
      <c r="E45" s="69"/>
      <c r="F45" s="81"/>
      <c r="G45" s="82"/>
      <c r="H45" s="91"/>
      <c r="I45" s="91"/>
      <c r="J45" s="91"/>
      <c r="K45" s="81"/>
      <c r="L45" s="81"/>
      <c r="M45" s="81"/>
      <c r="N45" s="81"/>
      <c r="O45" s="81"/>
      <c r="P45" s="81"/>
      <c r="Q45" s="83"/>
      <c r="R45" s="101"/>
      <c r="S45" s="83"/>
      <c r="T45" s="91"/>
      <c r="U45" s="92"/>
    </row>
    <row r="46" spans="1:21" x14ac:dyDescent="0.3">
      <c r="A46" s="80"/>
      <c r="B46" s="70"/>
      <c r="C46" s="69"/>
      <c r="D46" s="70"/>
      <c r="E46" s="69"/>
      <c r="F46" s="81"/>
      <c r="G46" s="82"/>
      <c r="H46" s="91"/>
      <c r="I46" s="91"/>
      <c r="J46" s="91"/>
      <c r="K46" s="81"/>
      <c r="L46" s="81"/>
      <c r="M46" s="81"/>
      <c r="N46" s="81"/>
      <c r="O46" s="81"/>
      <c r="P46" s="81"/>
      <c r="Q46" s="83"/>
      <c r="R46" s="101"/>
      <c r="S46" s="83"/>
      <c r="T46" s="91"/>
      <c r="U46" s="92"/>
    </row>
    <row r="47" spans="1:21" x14ac:dyDescent="0.3">
      <c r="A47" s="80"/>
      <c r="B47" s="70"/>
      <c r="C47" s="69"/>
      <c r="D47" s="70"/>
      <c r="E47" s="69"/>
      <c r="F47" s="81"/>
      <c r="G47" s="82"/>
      <c r="H47" s="91"/>
      <c r="I47" s="91"/>
      <c r="J47" s="91"/>
      <c r="K47" s="81"/>
      <c r="L47" s="81"/>
      <c r="M47" s="81"/>
      <c r="N47" s="81"/>
      <c r="O47" s="81"/>
      <c r="P47" s="81"/>
      <c r="Q47" s="83"/>
      <c r="R47" s="101"/>
      <c r="S47" s="83"/>
      <c r="T47" s="91"/>
      <c r="U47" s="92"/>
    </row>
    <row r="48" spans="1:21" x14ac:dyDescent="0.3">
      <c r="A48" s="80"/>
      <c r="B48" s="70"/>
      <c r="C48" s="69"/>
      <c r="D48" s="70"/>
      <c r="E48" s="69"/>
      <c r="F48" s="81"/>
      <c r="G48" s="82"/>
      <c r="H48" s="91"/>
      <c r="I48" s="91"/>
      <c r="J48" s="91"/>
      <c r="K48" s="81"/>
      <c r="L48" s="81"/>
      <c r="M48" s="81"/>
      <c r="N48" s="81"/>
      <c r="O48" s="81"/>
      <c r="P48" s="81"/>
      <c r="Q48" s="83"/>
      <c r="R48" s="101"/>
      <c r="S48" s="83"/>
      <c r="T48" s="91"/>
      <c r="U48" s="92"/>
    </row>
    <row r="49" spans="1:21" x14ac:dyDescent="0.3">
      <c r="A49" s="80"/>
      <c r="B49" s="70"/>
      <c r="C49" s="69"/>
      <c r="D49" s="70"/>
      <c r="E49" s="69"/>
      <c r="F49" s="81"/>
      <c r="G49" s="82"/>
      <c r="H49" s="91"/>
      <c r="I49" s="91"/>
      <c r="J49" s="91"/>
      <c r="K49" s="81"/>
      <c r="L49" s="81"/>
      <c r="M49" s="81"/>
      <c r="N49" s="81"/>
      <c r="O49" s="81"/>
      <c r="P49" s="81"/>
      <c r="Q49" s="83"/>
      <c r="R49" s="101"/>
      <c r="S49" s="83"/>
      <c r="T49" s="91"/>
      <c r="U49" s="92"/>
    </row>
    <row r="50" spans="1:21" x14ac:dyDescent="0.3">
      <c r="A50" s="80"/>
      <c r="B50" s="70"/>
      <c r="C50" s="69"/>
      <c r="D50" s="70"/>
      <c r="E50" s="69"/>
      <c r="F50" s="90"/>
      <c r="G50" s="81"/>
      <c r="H50" s="91"/>
      <c r="I50" s="91"/>
      <c r="J50" s="91"/>
      <c r="K50" s="81"/>
      <c r="L50" s="81"/>
      <c r="M50" s="81"/>
      <c r="N50" s="81"/>
      <c r="O50" s="81"/>
      <c r="P50" s="81"/>
      <c r="Q50" s="83"/>
      <c r="R50" s="101"/>
      <c r="S50" s="83"/>
      <c r="T50" s="91"/>
      <c r="U50" s="92"/>
    </row>
    <row r="51" spans="1:21" x14ac:dyDescent="0.3">
      <c r="A51" s="80"/>
      <c r="B51" s="70"/>
      <c r="C51" s="69"/>
      <c r="D51" s="70"/>
      <c r="E51" s="69"/>
      <c r="F51" s="90"/>
      <c r="G51" s="81"/>
      <c r="H51" s="91"/>
      <c r="I51" s="91"/>
      <c r="J51" s="91"/>
      <c r="K51" s="81"/>
      <c r="L51" s="81"/>
      <c r="M51" s="81"/>
      <c r="N51" s="81"/>
      <c r="O51" s="81"/>
      <c r="P51" s="81"/>
      <c r="Q51" s="83"/>
      <c r="R51" s="101"/>
      <c r="S51" s="83"/>
      <c r="T51" s="91"/>
      <c r="U51" s="92"/>
    </row>
    <row r="52" spans="1:21" x14ac:dyDescent="0.3">
      <c r="A52" s="80"/>
      <c r="B52" s="70"/>
      <c r="C52" s="69"/>
      <c r="D52" s="70"/>
      <c r="E52" s="69"/>
      <c r="F52" s="81"/>
      <c r="G52" s="81"/>
      <c r="H52" s="91"/>
      <c r="I52" s="91"/>
      <c r="J52" s="91"/>
      <c r="K52" s="81"/>
      <c r="L52" s="81"/>
      <c r="M52" s="81"/>
      <c r="N52" s="81"/>
      <c r="O52" s="81"/>
      <c r="P52" s="81"/>
      <c r="Q52" s="83"/>
      <c r="R52" s="101"/>
      <c r="S52" s="83"/>
      <c r="T52" s="91"/>
      <c r="U52" s="92"/>
    </row>
    <row r="53" spans="1:21" x14ac:dyDescent="0.3">
      <c r="A53" s="80"/>
      <c r="B53" s="70"/>
      <c r="C53" s="69"/>
      <c r="D53" s="70"/>
      <c r="E53" s="69"/>
      <c r="F53" s="81"/>
      <c r="G53" s="81"/>
      <c r="H53" s="91"/>
      <c r="I53" s="91"/>
      <c r="J53" s="91"/>
      <c r="K53" s="81"/>
      <c r="L53" s="81"/>
      <c r="M53" s="81"/>
      <c r="N53" s="81"/>
      <c r="O53" s="81"/>
      <c r="P53" s="81"/>
      <c r="Q53" s="83"/>
      <c r="R53" s="101"/>
      <c r="S53" s="83"/>
      <c r="T53" s="91"/>
      <c r="U53" s="92"/>
    </row>
    <row r="54" spans="1:21" x14ac:dyDescent="0.3">
      <c r="A54" s="94"/>
      <c r="B54" s="75"/>
      <c r="C54" s="71"/>
      <c r="D54" s="95"/>
      <c r="E54" s="96"/>
      <c r="F54" s="74"/>
      <c r="G54" s="73"/>
      <c r="H54" s="97"/>
      <c r="I54" s="97"/>
      <c r="J54" s="97"/>
      <c r="K54" s="72"/>
      <c r="L54" s="72"/>
      <c r="M54" s="72"/>
      <c r="N54" s="72"/>
      <c r="O54" s="72"/>
      <c r="P54" s="72"/>
      <c r="Q54" s="72"/>
      <c r="R54" s="72"/>
      <c r="S54" s="72"/>
      <c r="T54" s="97"/>
      <c r="U54" s="98"/>
    </row>
  </sheetData>
  <mergeCells count="3">
    <mergeCell ref="A1:I1"/>
    <mergeCell ref="J1:U2"/>
    <mergeCell ref="A2:E2"/>
  </mergeCells>
  <pageMargins left="0.7" right="0.7" top="0.78740157499999996" bottom="0.78740157499999996"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6BB3-878E-4391-8C2E-65E6BFCCE40D}">
  <dimension ref="A1:U54"/>
  <sheetViews>
    <sheetView zoomScale="70" zoomScaleNormal="70" workbookViewId="0">
      <selection activeCell="I25" sqref="I25"/>
    </sheetView>
  </sheetViews>
  <sheetFormatPr defaultColWidth="10.85546875" defaultRowHeight="16.5" x14ac:dyDescent="0.3"/>
  <cols>
    <col min="1" max="1" width="16.7109375" style="66" customWidth="1"/>
    <col min="2" max="2" width="14.85546875" style="66" customWidth="1"/>
    <col min="3" max="3" width="31.85546875" style="66" customWidth="1"/>
    <col min="4" max="4" width="74.85546875" style="66" customWidth="1"/>
    <col min="5" max="5" width="32.140625" style="66" bestFit="1" customWidth="1"/>
    <col min="6" max="6" width="10.85546875" style="76"/>
    <col min="7" max="7" width="26" style="76" customWidth="1"/>
    <col min="8" max="8" width="12.85546875" style="66" customWidth="1"/>
    <col min="9" max="9" width="23.28515625" style="66" customWidth="1"/>
    <col min="10" max="10" width="10.85546875" style="66"/>
    <col min="11" max="11" width="29.140625" style="76" bestFit="1" customWidth="1"/>
    <col min="12" max="12" width="23.28515625" style="76" bestFit="1" customWidth="1"/>
    <col min="13" max="13" width="24.140625" style="76" bestFit="1" customWidth="1"/>
    <col min="14" max="14" width="36.7109375" style="76" bestFit="1" customWidth="1"/>
    <col min="15" max="15" width="34.42578125" style="76" bestFit="1" customWidth="1"/>
    <col min="16" max="16" width="31.7109375" style="76" bestFit="1" customWidth="1"/>
    <col min="17" max="17" width="25.140625" style="76" bestFit="1" customWidth="1"/>
    <col min="18" max="18" width="30.5703125" style="76" bestFit="1" customWidth="1"/>
    <col min="19" max="19" width="22.28515625" style="76" bestFit="1" customWidth="1"/>
    <col min="20" max="20" width="21.28515625" style="66" bestFit="1" customWidth="1"/>
    <col min="21" max="21" width="25.5703125" style="66" bestFit="1" customWidth="1"/>
    <col min="22" max="16384" width="10.85546875" style="66"/>
  </cols>
  <sheetData>
    <row r="1" spans="1:21" ht="63" customHeight="1" x14ac:dyDescent="0.3">
      <c r="A1" s="247" t="s">
        <v>630</v>
      </c>
      <c r="B1" s="247"/>
      <c r="C1" s="247"/>
      <c r="D1" s="247"/>
      <c r="E1" s="247"/>
      <c r="F1" s="247"/>
      <c r="G1" s="247"/>
      <c r="H1" s="247"/>
      <c r="I1" s="247"/>
      <c r="J1" s="250"/>
      <c r="K1" s="250"/>
      <c r="L1" s="250"/>
      <c r="M1" s="250"/>
      <c r="N1" s="250"/>
      <c r="O1" s="250"/>
      <c r="P1" s="250"/>
      <c r="Q1" s="250"/>
      <c r="R1" s="250"/>
      <c r="S1" s="250"/>
      <c r="T1" s="250"/>
      <c r="U1" s="251"/>
    </row>
    <row r="2" spans="1:21" ht="17.25" x14ac:dyDescent="0.3">
      <c r="A2" s="248" t="s">
        <v>631</v>
      </c>
      <c r="B2" s="249"/>
      <c r="C2" s="249"/>
      <c r="D2" s="249"/>
      <c r="E2" s="249"/>
      <c r="F2" s="77"/>
      <c r="G2" s="77"/>
      <c r="H2" s="78"/>
      <c r="I2" s="79"/>
      <c r="J2" s="252"/>
      <c r="K2" s="252"/>
      <c r="L2" s="252"/>
      <c r="M2" s="252"/>
      <c r="N2" s="252"/>
      <c r="O2" s="252"/>
      <c r="P2" s="252"/>
      <c r="Q2" s="252"/>
      <c r="R2" s="252"/>
      <c r="S2" s="252"/>
      <c r="T2" s="252"/>
      <c r="U2" s="253"/>
    </row>
    <row r="3" spans="1:21" ht="54.6" customHeight="1" x14ac:dyDescent="0.3">
      <c r="A3" s="102" t="s">
        <v>105</v>
      </c>
      <c r="B3" s="67" t="s">
        <v>106</v>
      </c>
      <c r="C3" s="67" t="s">
        <v>107</v>
      </c>
      <c r="D3" s="67" t="s">
        <v>625</v>
      </c>
      <c r="E3" s="67" t="s">
        <v>626</v>
      </c>
      <c r="F3" s="67" t="s">
        <v>108</v>
      </c>
      <c r="G3" s="67" t="s">
        <v>109</v>
      </c>
      <c r="H3" s="67" t="s">
        <v>468</v>
      </c>
      <c r="I3" s="67" t="s">
        <v>627</v>
      </c>
      <c r="J3" s="67" t="s">
        <v>628</v>
      </c>
      <c r="K3" s="68" t="s">
        <v>692</v>
      </c>
      <c r="L3" s="68" t="s">
        <v>693</v>
      </c>
      <c r="M3" s="68" t="s">
        <v>699</v>
      </c>
      <c r="N3" s="68" t="s">
        <v>696</v>
      </c>
      <c r="O3" s="68" t="s">
        <v>694</v>
      </c>
      <c r="P3" s="68" t="s">
        <v>695</v>
      </c>
      <c r="Q3" s="68" t="s">
        <v>697</v>
      </c>
      <c r="R3" s="68" t="s">
        <v>698</v>
      </c>
      <c r="S3" s="68" t="s">
        <v>629</v>
      </c>
      <c r="T3" s="99" t="s">
        <v>110</v>
      </c>
      <c r="U3" s="100" t="s">
        <v>111</v>
      </c>
    </row>
    <row r="4" spans="1:21" x14ac:dyDescent="0.3">
      <c r="A4" s="80"/>
      <c r="B4" s="70"/>
      <c r="C4" s="69"/>
      <c r="D4" s="70"/>
      <c r="E4" s="69"/>
      <c r="F4" s="81"/>
      <c r="G4" s="82"/>
      <c r="H4" s="83"/>
      <c r="I4" s="83"/>
      <c r="J4" s="84"/>
      <c r="K4" s="84"/>
      <c r="L4" s="84"/>
      <c r="M4" s="84"/>
      <c r="N4" s="84"/>
      <c r="O4" s="84"/>
      <c r="P4" s="84"/>
      <c r="Q4" s="83"/>
      <c r="R4" s="83"/>
      <c r="S4" s="83"/>
      <c r="T4" s="83"/>
      <c r="U4" s="85"/>
    </row>
    <row r="5" spans="1:21" x14ac:dyDescent="0.3">
      <c r="A5" s="80"/>
      <c r="B5" s="70"/>
      <c r="C5" s="69"/>
      <c r="D5" s="70"/>
      <c r="E5" s="69"/>
      <c r="F5" s="81"/>
      <c r="G5" s="82"/>
      <c r="H5" s="70"/>
      <c r="I5" s="70"/>
      <c r="J5" s="86"/>
      <c r="K5" s="84"/>
      <c r="L5" s="84"/>
      <c r="M5" s="84"/>
      <c r="N5" s="84"/>
      <c r="O5" s="84"/>
      <c r="P5" s="84"/>
      <c r="Q5" s="83"/>
      <c r="R5" s="83"/>
      <c r="S5" s="83"/>
      <c r="T5" s="87"/>
      <c r="U5" s="88"/>
    </row>
    <row r="6" spans="1:21" x14ac:dyDescent="0.3">
      <c r="A6" s="80"/>
      <c r="B6" s="70"/>
      <c r="C6" s="69"/>
      <c r="D6" s="70"/>
      <c r="E6" s="69"/>
      <c r="F6" s="81"/>
      <c r="G6" s="82"/>
      <c r="H6" s="70"/>
      <c r="I6" s="70"/>
      <c r="J6" s="86"/>
      <c r="K6" s="84"/>
      <c r="L6" s="84"/>
      <c r="M6" s="84"/>
      <c r="N6" s="84"/>
      <c r="O6" s="84"/>
      <c r="P6" s="84"/>
      <c r="Q6" s="83"/>
      <c r="R6" s="83"/>
      <c r="S6" s="83"/>
      <c r="T6" s="87"/>
      <c r="U6" s="88"/>
    </row>
    <row r="7" spans="1:21" x14ac:dyDescent="0.3">
      <c r="A7" s="80"/>
      <c r="B7" s="70"/>
      <c r="C7" s="69"/>
      <c r="D7" s="70"/>
      <c r="E7" s="69"/>
      <c r="F7" s="81"/>
      <c r="G7" s="89"/>
      <c r="H7" s="70"/>
      <c r="I7" s="70"/>
      <c r="J7" s="86"/>
      <c r="K7" s="84"/>
      <c r="L7" s="84"/>
      <c r="M7" s="84"/>
      <c r="N7" s="84"/>
      <c r="O7" s="84"/>
      <c r="P7" s="84"/>
      <c r="Q7" s="83"/>
      <c r="R7" s="83"/>
      <c r="S7" s="83"/>
      <c r="T7" s="87"/>
      <c r="U7" s="88"/>
    </row>
    <row r="8" spans="1:21" x14ac:dyDescent="0.3">
      <c r="A8" s="80"/>
      <c r="B8" s="70"/>
      <c r="C8" s="69"/>
      <c r="D8" s="70"/>
      <c r="E8" s="69"/>
      <c r="F8" s="81"/>
      <c r="G8" s="81"/>
      <c r="H8" s="70"/>
      <c r="I8" s="70"/>
      <c r="J8" s="86"/>
      <c r="K8" s="84"/>
      <c r="L8" s="84"/>
      <c r="M8" s="84"/>
      <c r="N8" s="84"/>
      <c r="O8" s="84"/>
      <c r="P8" s="84"/>
      <c r="Q8" s="83"/>
      <c r="R8" s="83"/>
      <c r="S8" s="83"/>
      <c r="T8" s="87"/>
      <c r="U8" s="88"/>
    </row>
    <row r="9" spans="1:21" x14ac:dyDescent="0.3">
      <c r="A9" s="80"/>
      <c r="B9" s="70"/>
      <c r="C9" s="69"/>
      <c r="D9" s="70"/>
      <c r="E9" s="69"/>
      <c r="F9" s="81"/>
      <c r="G9" s="82"/>
      <c r="H9" s="70"/>
      <c r="I9" s="70"/>
      <c r="J9" s="86"/>
      <c r="K9" s="84"/>
      <c r="L9" s="84"/>
      <c r="M9" s="84"/>
      <c r="N9" s="84"/>
      <c r="O9" s="84"/>
      <c r="P9" s="84"/>
      <c r="Q9" s="83"/>
      <c r="R9" s="83"/>
      <c r="S9" s="83"/>
      <c r="T9" s="87"/>
      <c r="U9" s="88"/>
    </row>
    <row r="10" spans="1:21" x14ac:dyDescent="0.3">
      <c r="A10" s="80"/>
      <c r="B10" s="70"/>
      <c r="C10" s="69"/>
      <c r="D10" s="70"/>
      <c r="E10" s="69"/>
      <c r="F10" s="81"/>
      <c r="G10" s="81"/>
      <c r="H10" s="70"/>
      <c r="I10" s="70"/>
      <c r="J10" s="86"/>
      <c r="K10" s="84"/>
      <c r="L10" s="84"/>
      <c r="M10" s="84"/>
      <c r="N10" s="84"/>
      <c r="O10" s="84"/>
      <c r="P10" s="84"/>
      <c r="Q10" s="83"/>
      <c r="R10" s="83"/>
      <c r="S10" s="83"/>
      <c r="T10" s="87"/>
      <c r="U10" s="88"/>
    </row>
    <row r="11" spans="1:21" x14ac:dyDescent="0.3">
      <c r="A11" s="80"/>
      <c r="B11" s="70"/>
      <c r="C11" s="69"/>
      <c r="D11" s="70"/>
      <c r="E11" s="69"/>
      <c r="F11" s="81"/>
      <c r="G11" s="81"/>
      <c r="H11" s="70"/>
      <c r="I11" s="70"/>
      <c r="J11" s="86"/>
      <c r="K11" s="84"/>
      <c r="L11" s="84"/>
      <c r="M11" s="84"/>
      <c r="N11" s="84"/>
      <c r="O11" s="84"/>
      <c r="P11" s="84"/>
      <c r="Q11" s="83"/>
      <c r="R11" s="83"/>
      <c r="S11" s="83"/>
      <c r="T11" s="87"/>
      <c r="U11" s="88"/>
    </row>
    <row r="12" spans="1:21" x14ac:dyDescent="0.3">
      <c r="A12" s="80"/>
      <c r="B12" s="70"/>
      <c r="C12" s="69"/>
      <c r="D12" s="70"/>
      <c r="E12" s="69"/>
      <c r="F12" s="81"/>
      <c r="G12" s="81"/>
      <c r="H12" s="70"/>
      <c r="I12" s="70"/>
      <c r="J12" s="86"/>
      <c r="K12" s="84"/>
      <c r="L12" s="84"/>
      <c r="M12" s="84"/>
      <c r="N12" s="84"/>
      <c r="O12" s="84"/>
      <c r="P12" s="84"/>
      <c r="Q12" s="83"/>
      <c r="R12" s="83"/>
      <c r="S12" s="83"/>
      <c r="T12" s="87"/>
      <c r="U12" s="88"/>
    </row>
    <row r="13" spans="1:21" x14ac:dyDescent="0.3">
      <c r="A13" s="80"/>
      <c r="B13" s="70"/>
      <c r="C13" s="69"/>
      <c r="D13" s="70"/>
      <c r="E13" s="69"/>
      <c r="F13" s="81"/>
      <c r="G13" s="81"/>
      <c r="H13" s="70"/>
      <c r="I13" s="70"/>
      <c r="J13" s="86"/>
      <c r="K13" s="84"/>
      <c r="L13" s="84"/>
      <c r="M13" s="84"/>
      <c r="N13" s="84"/>
      <c r="O13" s="84"/>
      <c r="P13" s="84"/>
      <c r="Q13" s="83"/>
      <c r="R13" s="83"/>
      <c r="S13" s="83"/>
      <c r="T13" s="87"/>
      <c r="U13" s="88"/>
    </row>
    <row r="14" spans="1:21" x14ac:dyDescent="0.3">
      <c r="A14" s="80"/>
      <c r="B14" s="70"/>
      <c r="C14" s="69"/>
      <c r="D14" s="70"/>
      <c r="E14" s="69"/>
      <c r="F14" s="81"/>
      <c r="G14" s="81"/>
      <c r="H14" s="70"/>
      <c r="I14" s="70"/>
      <c r="J14" s="86"/>
      <c r="K14" s="84"/>
      <c r="L14" s="84"/>
      <c r="M14" s="84"/>
      <c r="N14" s="84"/>
      <c r="O14" s="84"/>
      <c r="P14" s="84"/>
      <c r="Q14" s="83"/>
      <c r="R14" s="83"/>
      <c r="S14" s="83"/>
      <c r="T14" s="87"/>
      <c r="U14" s="88"/>
    </row>
    <row r="15" spans="1:21" x14ac:dyDescent="0.3">
      <c r="A15" s="80"/>
      <c r="B15" s="70"/>
      <c r="C15" s="69"/>
      <c r="D15" s="70"/>
      <c r="E15" s="69"/>
      <c r="F15" s="81"/>
      <c r="G15" s="81"/>
      <c r="H15" s="70"/>
      <c r="I15" s="70"/>
      <c r="J15" s="86"/>
      <c r="K15" s="84"/>
      <c r="L15" s="84"/>
      <c r="M15" s="84"/>
      <c r="N15" s="84"/>
      <c r="O15" s="84"/>
      <c r="P15" s="84"/>
      <c r="Q15" s="83"/>
      <c r="R15" s="83"/>
      <c r="S15" s="83"/>
      <c r="T15" s="87"/>
      <c r="U15" s="88"/>
    </row>
    <row r="16" spans="1:21" x14ac:dyDescent="0.3">
      <c r="A16" s="80"/>
      <c r="B16" s="70"/>
      <c r="C16" s="69"/>
      <c r="D16" s="70"/>
      <c r="E16" s="69"/>
      <c r="F16" s="81"/>
      <c r="G16" s="81"/>
      <c r="H16" s="70"/>
      <c r="I16" s="70"/>
      <c r="J16" s="86"/>
      <c r="K16" s="84"/>
      <c r="L16" s="84"/>
      <c r="M16" s="84"/>
      <c r="N16" s="84"/>
      <c r="O16" s="84"/>
      <c r="P16" s="84"/>
      <c r="Q16" s="83"/>
      <c r="R16" s="83"/>
      <c r="S16" s="83"/>
      <c r="T16" s="87"/>
      <c r="U16" s="88"/>
    </row>
    <row r="17" spans="1:21" x14ac:dyDescent="0.3">
      <c r="A17" s="80"/>
      <c r="B17" s="70"/>
      <c r="C17" s="69"/>
      <c r="D17" s="70"/>
      <c r="E17" s="69"/>
      <c r="F17" s="81"/>
      <c r="G17" s="82"/>
      <c r="H17" s="70"/>
      <c r="I17" s="70"/>
      <c r="J17" s="86"/>
      <c r="K17" s="84"/>
      <c r="L17" s="84"/>
      <c r="M17" s="84"/>
      <c r="N17" s="84"/>
      <c r="O17" s="84"/>
      <c r="P17" s="84"/>
      <c r="Q17" s="83"/>
      <c r="R17" s="83"/>
      <c r="S17" s="83"/>
      <c r="T17" s="87"/>
      <c r="U17" s="88"/>
    </row>
    <row r="18" spans="1:21" x14ac:dyDescent="0.3">
      <c r="A18" s="80"/>
      <c r="B18" s="70"/>
      <c r="C18" s="69"/>
      <c r="D18" s="70"/>
      <c r="E18" s="69"/>
      <c r="F18" s="81"/>
      <c r="G18" s="82"/>
      <c r="H18" s="70"/>
      <c r="I18" s="70"/>
      <c r="J18" s="86"/>
      <c r="K18" s="84"/>
      <c r="L18" s="84"/>
      <c r="M18" s="84"/>
      <c r="N18" s="84"/>
      <c r="O18" s="84"/>
      <c r="P18" s="84"/>
      <c r="Q18" s="83"/>
      <c r="R18" s="83"/>
      <c r="S18" s="83"/>
      <c r="T18" s="87"/>
      <c r="U18" s="88"/>
    </row>
    <row r="19" spans="1:21" x14ac:dyDescent="0.3">
      <c r="A19" s="80"/>
      <c r="B19" s="70"/>
      <c r="C19" s="69"/>
      <c r="D19" s="70"/>
      <c r="E19" s="69"/>
      <c r="F19" s="90"/>
      <c r="G19" s="82"/>
      <c r="H19" s="70"/>
      <c r="I19" s="70"/>
      <c r="J19" s="86"/>
      <c r="K19" s="84"/>
      <c r="L19" s="84"/>
      <c r="M19" s="84"/>
      <c r="N19" s="84"/>
      <c r="O19" s="84"/>
      <c r="P19" s="84"/>
      <c r="Q19" s="83"/>
      <c r="R19" s="83"/>
      <c r="S19" s="83"/>
      <c r="T19" s="87"/>
      <c r="U19" s="88"/>
    </row>
    <row r="20" spans="1:21" x14ac:dyDescent="0.3">
      <c r="A20" s="80"/>
      <c r="B20" s="70"/>
      <c r="C20" s="69"/>
      <c r="D20" s="70"/>
      <c r="E20" s="69"/>
      <c r="F20" s="81"/>
      <c r="G20" s="82"/>
      <c r="H20" s="70"/>
      <c r="I20" s="70"/>
      <c r="J20" s="86"/>
      <c r="K20" s="84"/>
      <c r="L20" s="84"/>
      <c r="M20" s="84"/>
      <c r="N20" s="84"/>
      <c r="O20" s="84"/>
      <c r="P20" s="84"/>
      <c r="Q20" s="83"/>
      <c r="R20" s="83"/>
      <c r="S20" s="83"/>
      <c r="T20" s="87"/>
      <c r="U20" s="88"/>
    </row>
    <row r="21" spans="1:21" x14ac:dyDescent="0.3">
      <c r="A21" s="80"/>
      <c r="B21" s="70"/>
      <c r="C21" s="69"/>
      <c r="D21" s="70"/>
      <c r="E21" s="69"/>
      <c r="F21" s="81"/>
      <c r="G21" s="89"/>
      <c r="H21" s="70"/>
      <c r="I21" s="70"/>
      <c r="J21" s="86"/>
      <c r="K21" s="84"/>
      <c r="L21" s="84"/>
      <c r="M21" s="84"/>
      <c r="N21" s="84"/>
      <c r="O21" s="84"/>
      <c r="P21" s="84"/>
      <c r="Q21" s="83"/>
      <c r="R21" s="83"/>
      <c r="S21" s="83"/>
      <c r="T21" s="87"/>
      <c r="U21" s="88"/>
    </row>
    <row r="22" spans="1:21" x14ac:dyDescent="0.3">
      <c r="A22" s="80"/>
      <c r="B22" s="70"/>
      <c r="C22" s="69"/>
      <c r="D22" s="70"/>
      <c r="E22" s="69"/>
      <c r="F22" s="81"/>
      <c r="G22" s="82"/>
      <c r="H22" s="70"/>
      <c r="I22" s="70"/>
      <c r="J22" s="86"/>
      <c r="K22" s="84"/>
      <c r="L22" s="84"/>
      <c r="M22" s="84"/>
      <c r="N22" s="84"/>
      <c r="O22" s="84"/>
      <c r="P22" s="84"/>
      <c r="Q22" s="83"/>
      <c r="R22" s="83"/>
      <c r="S22" s="83"/>
      <c r="T22" s="87"/>
      <c r="U22" s="88"/>
    </row>
    <row r="23" spans="1:21" x14ac:dyDescent="0.3">
      <c r="A23" s="80"/>
      <c r="B23" s="70"/>
      <c r="C23" s="69"/>
      <c r="D23" s="70"/>
      <c r="E23" s="69"/>
      <c r="F23" s="81"/>
      <c r="G23" s="89"/>
      <c r="H23" s="91"/>
      <c r="I23" s="91"/>
      <c r="J23" s="91"/>
      <c r="K23" s="81"/>
      <c r="L23" s="81"/>
      <c r="M23" s="81"/>
      <c r="N23" s="81"/>
      <c r="O23" s="81"/>
      <c r="P23" s="81"/>
      <c r="Q23" s="83"/>
      <c r="R23" s="101"/>
      <c r="S23" s="83"/>
      <c r="T23" s="91"/>
      <c r="U23" s="92"/>
    </row>
    <row r="24" spans="1:21" x14ac:dyDescent="0.3">
      <c r="A24" s="80"/>
      <c r="B24" s="70"/>
      <c r="C24" s="69"/>
      <c r="D24" s="70"/>
      <c r="E24" s="69"/>
      <c r="F24" s="81"/>
      <c r="G24" s="82"/>
      <c r="H24" s="91"/>
      <c r="I24" s="91"/>
      <c r="J24" s="91"/>
      <c r="K24" s="81"/>
      <c r="L24" s="81"/>
      <c r="M24" s="81"/>
      <c r="N24" s="81"/>
      <c r="O24" s="81"/>
      <c r="P24" s="81"/>
      <c r="Q24" s="83"/>
      <c r="R24" s="101"/>
      <c r="S24" s="83"/>
      <c r="T24" s="91"/>
      <c r="U24" s="92"/>
    </row>
    <row r="25" spans="1:21" x14ac:dyDescent="0.3">
      <c r="A25" s="80"/>
      <c r="B25" s="70"/>
      <c r="C25" s="69"/>
      <c r="D25" s="70"/>
      <c r="E25" s="69"/>
      <c r="F25" s="81"/>
      <c r="G25" s="89"/>
      <c r="H25" s="91"/>
      <c r="I25" s="91"/>
      <c r="J25" s="91"/>
      <c r="K25" s="81"/>
      <c r="L25" s="81"/>
      <c r="M25" s="81"/>
      <c r="N25" s="81"/>
      <c r="O25" s="81"/>
      <c r="P25" s="81"/>
      <c r="Q25" s="83"/>
      <c r="R25" s="101"/>
      <c r="S25" s="83"/>
      <c r="T25" s="91"/>
      <c r="U25" s="92"/>
    </row>
    <row r="26" spans="1:21" x14ac:dyDescent="0.3">
      <c r="A26" s="80"/>
      <c r="B26" s="70"/>
      <c r="C26" s="69"/>
      <c r="D26" s="70"/>
      <c r="E26" s="69"/>
      <c r="F26" s="81"/>
      <c r="G26" s="82"/>
      <c r="H26" s="91"/>
      <c r="I26" s="91"/>
      <c r="J26" s="91"/>
      <c r="K26" s="81"/>
      <c r="L26" s="81"/>
      <c r="M26" s="81"/>
      <c r="N26" s="81"/>
      <c r="O26" s="81"/>
      <c r="P26" s="81"/>
      <c r="Q26" s="83"/>
      <c r="R26" s="101"/>
      <c r="S26" s="83"/>
      <c r="T26" s="91"/>
      <c r="U26" s="92"/>
    </row>
    <row r="27" spans="1:21" x14ac:dyDescent="0.3">
      <c r="A27" s="80"/>
      <c r="B27" s="70"/>
      <c r="C27" s="69"/>
      <c r="D27" s="70"/>
      <c r="E27" s="69"/>
      <c r="F27" s="81"/>
      <c r="G27" s="82"/>
      <c r="H27" s="91"/>
      <c r="I27" s="91"/>
      <c r="J27" s="91"/>
      <c r="K27" s="81"/>
      <c r="L27" s="81"/>
      <c r="M27" s="81"/>
      <c r="N27" s="81"/>
      <c r="O27" s="81"/>
      <c r="P27" s="81"/>
      <c r="Q27" s="83"/>
      <c r="R27" s="101"/>
      <c r="S27" s="83"/>
      <c r="T27" s="91"/>
      <c r="U27" s="92"/>
    </row>
    <row r="28" spans="1:21" x14ac:dyDescent="0.3">
      <c r="A28" s="80"/>
      <c r="B28" s="70"/>
      <c r="C28" s="69"/>
      <c r="D28" s="70"/>
      <c r="E28" s="69"/>
      <c r="F28" s="81"/>
      <c r="G28" s="82"/>
      <c r="H28" s="91"/>
      <c r="I28" s="91"/>
      <c r="J28" s="91"/>
      <c r="K28" s="81"/>
      <c r="L28" s="81"/>
      <c r="M28" s="81"/>
      <c r="N28" s="81"/>
      <c r="O28" s="81"/>
      <c r="P28" s="81"/>
      <c r="Q28" s="83"/>
      <c r="R28" s="101"/>
      <c r="S28" s="83"/>
      <c r="T28" s="91"/>
      <c r="U28" s="92"/>
    </row>
    <row r="29" spans="1:21" x14ac:dyDescent="0.3">
      <c r="A29" s="80"/>
      <c r="B29" s="70"/>
      <c r="C29" s="69"/>
      <c r="D29" s="70"/>
      <c r="E29" s="69"/>
      <c r="F29" s="81"/>
      <c r="G29" s="82"/>
      <c r="H29" s="91"/>
      <c r="I29" s="91"/>
      <c r="J29" s="91"/>
      <c r="K29" s="81"/>
      <c r="L29" s="81"/>
      <c r="M29" s="81"/>
      <c r="N29" s="81"/>
      <c r="O29" s="81"/>
      <c r="P29" s="81"/>
      <c r="Q29" s="83"/>
      <c r="R29" s="101"/>
      <c r="S29" s="83"/>
      <c r="T29" s="91"/>
      <c r="U29" s="92"/>
    </row>
    <row r="30" spans="1:21" x14ac:dyDescent="0.3">
      <c r="A30" s="80"/>
      <c r="B30" s="70"/>
      <c r="C30" s="69"/>
      <c r="D30" s="70"/>
      <c r="E30" s="69"/>
      <c r="F30" s="81"/>
      <c r="G30" s="81"/>
      <c r="H30" s="91"/>
      <c r="I30" s="91"/>
      <c r="J30" s="91"/>
      <c r="K30" s="81"/>
      <c r="L30" s="81"/>
      <c r="M30" s="81"/>
      <c r="N30" s="81"/>
      <c r="O30" s="81"/>
      <c r="P30" s="81"/>
      <c r="Q30" s="83"/>
      <c r="R30" s="101"/>
      <c r="S30" s="83"/>
      <c r="T30" s="91"/>
      <c r="U30" s="92"/>
    </row>
    <row r="31" spans="1:21" x14ac:dyDescent="0.3">
      <c r="A31" s="80"/>
      <c r="B31" s="70"/>
      <c r="C31" s="69"/>
      <c r="D31" s="70"/>
      <c r="E31" s="69"/>
      <c r="F31" s="81"/>
      <c r="G31" s="82"/>
      <c r="H31" s="91"/>
      <c r="I31" s="91"/>
      <c r="J31" s="91"/>
      <c r="K31" s="81"/>
      <c r="L31" s="81"/>
      <c r="M31" s="81"/>
      <c r="N31" s="81"/>
      <c r="O31" s="81"/>
      <c r="P31" s="81"/>
      <c r="Q31" s="83"/>
      <c r="R31" s="101"/>
      <c r="S31" s="83"/>
      <c r="T31" s="91"/>
      <c r="U31" s="92"/>
    </row>
    <row r="32" spans="1:21" x14ac:dyDescent="0.3">
      <c r="A32" s="80"/>
      <c r="B32" s="70"/>
      <c r="C32" s="69"/>
      <c r="D32" s="70"/>
      <c r="E32" s="69"/>
      <c r="F32" s="81"/>
      <c r="G32" s="81"/>
      <c r="H32" s="91"/>
      <c r="I32" s="91"/>
      <c r="J32" s="91"/>
      <c r="K32" s="81"/>
      <c r="L32" s="81"/>
      <c r="M32" s="81"/>
      <c r="N32" s="81"/>
      <c r="O32" s="81"/>
      <c r="P32" s="81"/>
      <c r="Q32" s="83"/>
      <c r="R32" s="101"/>
      <c r="S32" s="83"/>
      <c r="T32" s="91"/>
      <c r="U32" s="92"/>
    </row>
    <row r="33" spans="1:21" x14ac:dyDescent="0.3">
      <c r="A33" s="80"/>
      <c r="B33" s="70"/>
      <c r="C33" s="69"/>
      <c r="D33" s="70"/>
      <c r="E33" s="69"/>
      <c r="F33" s="81"/>
      <c r="G33" s="93"/>
      <c r="H33" s="91"/>
      <c r="I33" s="91"/>
      <c r="J33" s="91"/>
      <c r="K33" s="81"/>
      <c r="L33" s="81"/>
      <c r="M33" s="81"/>
      <c r="N33" s="81"/>
      <c r="O33" s="81"/>
      <c r="P33" s="81"/>
      <c r="Q33" s="83"/>
      <c r="R33" s="101"/>
      <c r="S33" s="83"/>
      <c r="T33" s="91"/>
      <c r="U33" s="92"/>
    </row>
    <row r="34" spans="1:21" x14ac:dyDescent="0.3">
      <c r="A34" s="80"/>
      <c r="B34" s="70"/>
      <c r="C34" s="69"/>
      <c r="D34" s="70"/>
      <c r="E34" s="69"/>
      <c r="F34" s="81"/>
      <c r="G34" s="82"/>
      <c r="H34" s="91"/>
      <c r="I34" s="91"/>
      <c r="J34" s="91"/>
      <c r="K34" s="81"/>
      <c r="L34" s="81"/>
      <c r="M34" s="81"/>
      <c r="N34" s="81"/>
      <c r="O34" s="81"/>
      <c r="P34" s="81"/>
      <c r="Q34" s="83"/>
      <c r="R34" s="101"/>
      <c r="S34" s="83"/>
      <c r="T34" s="91"/>
      <c r="U34" s="92"/>
    </row>
    <row r="35" spans="1:21" x14ac:dyDescent="0.3">
      <c r="A35" s="80"/>
      <c r="B35" s="70"/>
      <c r="C35" s="69"/>
      <c r="D35" s="70"/>
      <c r="E35" s="69"/>
      <c r="F35" s="81"/>
      <c r="G35" s="82"/>
      <c r="H35" s="91"/>
      <c r="I35" s="91"/>
      <c r="J35" s="91"/>
      <c r="K35" s="81"/>
      <c r="L35" s="81"/>
      <c r="M35" s="81"/>
      <c r="N35" s="81"/>
      <c r="O35" s="81"/>
      <c r="P35" s="81"/>
      <c r="Q35" s="83"/>
      <c r="R35" s="101"/>
      <c r="S35" s="83"/>
      <c r="T35" s="91"/>
      <c r="U35" s="92"/>
    </row>
    <row r="36" spans="1:21" x14ac:dyDescent="0.3">
      <c r="A36" s="80"/>
      <c r="B36" s="70"/>
      <c r="C36" s="69"/>
      <c r="D36" s="70"/>
      <c r="E36" s="69"/>
      <c r="F36" s="81"/>
      <c r="G36" s="82"/>
      <c r="H36" s="91"/>
      <c r="I36" s="91"/>
      <c r="J36" s="91"/>
      <c r="K36" s="81"/>
      <c r="L36" s="81"/>
      <c r="M36" s="81"/>
      <c r="N36" s="81"/>
      <c r="O36" s="81"/>
      <c r="P36" s="81"/>
      <c r="Q36" s="83"/>
      <c r="R36" s="101"/>
      <c r="S36" s="83"/>
      <c r="T36" s="91"/>
      <c r="U36" s="92"/>
    </row>
    <row r="37" spans="1:21" x14ac:dyDescent="0.3">
      <c r="A37" s="80"/>
      <c r="B37" s="70"/>
      <c r="C37" s="69"/>
      <c r="D37" s="70"/>
      <c r="E37" s="69"/>
      <c r="F37" s="81"/>
      <c r="G37" s="82"/>
      <c r="H37" s="91"/>
      <c r="I37" s="91"/>
      <c r="J37" s="91"/>
      <c r="K37" s="81"/>
      <c r="L37" s="81"/>
      <c r="M37" s="81"/>
      <c r="N37" s="81"/>
      <c r="O37" s="81"/>
      <c r="P37" s="81"/>
      <c r="Q37" s="83"/>
      <c r="R37" s="101"/>
      <c r="S37" s="83"/>
      <c r="T37" s="91"/>
      <c r="U37" s="92"/>
    </row>
    <row r="38" spans="1:21" x14ac:dyDescent="0.3">
      <c r="A38" s="80"/>
      <c r="B38" s="70"/>
      <c r="C38" s="69"/>
      <c r="D38" s="70"/>
      <c r="E38" s="69"/>
      <c r="F38" s="81"/>
      <c r="G38" s="82"/>
      <c r="H38" s="91"/>
      <c r="I38" s="91"/>
      <c r="J38" s="91"/>
      <c r="K38" s="81"/>
      <c r="L38" s="81"/>
      <c r="M38" s="81"/>
      <c r="N38" s="81"/>
      <c r="O38" s="81"/>
      <c r="P38" s="81"/>
      <c r="Q38" s="83"/>
      <c r="R38" s="101"/>
      <c r="S38" s="83"/>
      <c r="T38" s="91"/>
      <c r="U38" s="92"/>
    </row>
    <row r="39" spans="1:21" x14ac:dyDescent="0.3">
      <c r="A39" s="80"/>
      <c r="B39" s="70"/>
      <c r="C39" s="69"/>
      <c r="D39" s="70"/>
      <c r="E39" s="69"/>
      <c r="F39" s="81"/>
      <c r="G39" s="82"/>
      <c r="H39" s="91"/>
      <c r="I39" s="91"/>
      <c r="J39" s="91"/>
      <c r="K39" s="81"/>
      <c r="L39" s="81"/>
      <c r="M39" s="81"/>
      <c r="N39" s="81"/>
      <c r="O39" s="81"/>
      <c r="P39" s="81"/>
      <c r="Q39" s="83"/>
      <c r="R39" s="101"/>
      <c r="S39" s="83"/>
      <c r="T39" s="91"/>
      <c r="U39" s="92"/>
    </row>
    <row r="40" spans="1:21" x14ac:dyDescent="0.3">
      <c r="A40" s="80"/>
      <c r="B40" s="70"/>
      <c r="C40" s="69"/>
      <c r="D40" s="70"/>
      <c r="E40" s="69"/>
      <c r="F40" s="81"/>
      <c r="G40" s="89"/>
      <c r="H40" s="91"/>
      <c r="I40" s="91"/>
      <c r="J40" s="91"/>
      <c r="K40" s="81"/>
      <c r="L40" s="81"/>
      <c r="M40" s="81"/>
      <c r="N40" s="81"/>
      <c r="O40" s="81"/>
      <c r="P40" s="81"/>
      <c r="Q40" s="83"/>
      <c r="R40" s="101"/>
      <c r="S40" s="83"/>
      <c r="T40" s="91"/>
      <c r="U40" s="92"/>
    </row>
    <row r="41" spans="1:21" x14ac:dyDescent="0.3">
      <c r="A41" s="80"/>
      <c r="B41" s="70"/>
      <c r="C41" s="69"/>
      <c r="D41" s="70"/>
      <c r="E41" s="69"/>
      <c r="F41" s="81"/>
      <c r="G41" s="89"/>
      <c r="H41" s="91"/>
      <c r="I41" s="91"/>
      <c r="J41" s="91"/>
      <c r="K41" s="81"/>
      <c r="L41" s="81"/>
      <c r="M41" s="81"/>
      <c r="N41" s="81"/>
      <c r="O41" s="81"/>
      <c r="P41" s="81"/>
      <c r="Q41" s="83"/>
      <c r="R41" s="101"/>
      <c r="S41" s="83"/>
      <c r="T41" s="91"/>
      <c r="U41" s="92"/>
    </row>
    <row r="42" spans="1:21" x14ac:dyDescent="0.3">
      <c r="A42" s="80"/>
      <c r="B42" s="70"/>
      <c r="C42" s="69"/>
      <c r="D42" s="70"/>
      <c r="E42" s="69"/>
      <c r="F42" s="81"/>
      <c r="G42" s="82"/>
      <c r="H42" s="91"/>
      <c r="I42" s="91"/>
      <c r="J42" s="91"/>
      <c r="K42" s="81"/>
      <c r="L42" s="81"/>
      <c r="M42" s="81"/>
      <c r="N42" s="81"/>
      <c r="O42" s="81"/>
      <c r="P42" s="81"/>
      <c r="Q42" s="83"/>
      <c r="R42" s="101"/>
      <c r="S42" s="83"/>
      <c r="T42" s="91"/>
      <c r="U42" s="92"/>
    </row>
    <row r="43" spans="1:21" x14ac:dyDescent="0.3">
      <c r="A43" s="80"/>
      <c r="B43" s="70"/>
      <c r="C43" s="69"/>
      <c r="D43" s="70"/>
      <c r="E43" s="69"/>
      <c r="F43" s="81"/>
      <c r="G43" s="82"/>
      <c r="H43" s="91"/>
      <c r="I43" s="91"/>
      <c r="J43" s="91"/>
      <c r="K43" s="81"/>
      <c r="L43" s="81"/>
      <c r="M43" s="81"/>
      <c r="N43" s="81"/>
      <c r="O43" s="81"/>
      <c r="P43" s="81"/>
      <c r="Q43" s="83"/>
      <c r="R43" s="101"/>
      <c r="S43" s="83"/>
      <c r="T43" s="91"/>
      <c r="U43" s="92"/>
    </row>
    <row r="44" spans="1:21" x14ac:dyDescent="0.3">
      <c r="A44" s="80"/>
      <c r="B44" s="70"/>
      <c r="C44" s="69"/>
      <c r="D44" s="70"/>
      <c r="E44" s="69"/>
      <c r="F44" s="81"/>
      <c r="G44" s="82"/>
      <c r="H44" s="91"/>
      <c r="I44" s="91"/>
      <c r="J44" s="91"/>
      <c r="K44" s="81"/>
      <c r="L44" s="81"/>
      <c r="M44" s="81"/>
      <c r="N44" s="81"/>
      <c r="O44" s="81"/>
      <c r="P44" s="81"/>
      <c r="Q44" s="83"/>
      <c r="R44" s="101"/>
      <c r="S44" s="83"/>
      <c r="T44" s="91"/>
      <c r="U44" s="92"/>
    </row>
    <row r="45" spans="1:21" x14ac:dyDescent="0.3">
      <c r="A45" s="80"/>
      <c r="B45" s="70"/>
      <c r="C45" s="69"/>
      <c r="D45" s="70"/>
      <c r="E45" s="69"/>
      <c r="F45" s="81"/>
      <c r="G45" s="82"/>
      <c r="H45" s="91"/>
      <c r="I45" s="91"/>
      <c r="J45" s="91"/>
      <c r="K45" s="81"/>
      <c r="L45" s="81"/>
      <c r="M45" s="81"/>
      <c r="N45" s="81"/>
      <c r="O45" s="81"/>
      <c r="P45" s="81"/>
      <c r="Q45" s="83"/>
      <c r="R45" s="101"/>
      <c r="S45" s="83"/>
      <c r="T45" s="91"/>
      <c r="U45" s="92"/>
    </row>
    <row r="46" spans="1:21" x14ac:dyDescent="0.3">
      <c r="A46" s="80"/>
      <c r="B46" s="70"/>
      <c r="C46" s="69"/>
      <c r="D46" s="70"/>
      <c r="E46" s="69"/>
      <c r="F46" s="81"/>
      <c r="G46" s="82"/>
      <c r="H46" s="91"/>
      <c r="I46" s="91"/>
      <c r="J46" s="91"/>
      <c r="K46" s="81"/>
      <c r="L46" s="81"/>
      <c r="M46" s="81"/>
      <c r="N46" s="81"/>
      <c r="O46" s="81"/>
      <c r="P46" s="81"/>
      <c r="Q46" s="83"/>
      <c r="R46" s="101"/>
      <c r="S46" s="83"/>
      <c r="T46" s="91"/>
      <c r="U46" s="92"/>
    </row>
    <row r="47" spans="1:21" x14ac:dyDescent="0.3">
      <c r="A47" s="80"/>
      <c r="B47" s="70"/>
      <c r="C47" s="69"/>
      <c r="D47" s="70"/>
      <c r="E47" s="69"/>
      <c r="F47" s="81"/>
      <c r="G47" s="82"/>
      <c r="H47" s="91"/>
      <c r="I47" s="91"/>
      <c r="J47" s="91"/>
      <c r="K47" s="81"/>
      <c r="L47" s="81"/>
      <c r="M47" s="81"/>
      <c r="N47" s="81"/>
      <c r="O47" s="81"/>
      <c r="P47" s="81"/>
      <c r="Q47" s="83"/>
      <c r="R47" s="101"/>
      <c r="S47" s="83"/>
      <c r="T47" s="91"/>
      <c r="U47" s="92"/>
    </row>
    <row r="48" spans="1:21" x14ac:dyDescent="0.3">
      <c r="A48" s="80"/>
      <c r="B48" s="70"/>
      <c r="C48" s="69"/>
      <c r="D48" s="70"/>
      <c r="E48" s="69"/>
      <c r="F48" s="81"/>
      <c r="G48" s="82"/>
      <c r="H48" s="91"/>
      <c r="I48" s="91"/>
      <c r="J48" s="91"/>
      <c r="K48" s="81"/>
      <c r="L48" s="81"/>
      <c r="M48" s="81"/>
      <c r="N48" s="81"/>
      <c r="O48" s="81"/>
      <c r="P48" s="81"/>
      <c r="Q48" s="83"/>
      <c r="R48" s="101"/>
      <c r="S48" s="83"/>
      <c r="T48" s="91"/>
      <c r="U48" s="92"/>
    </row>
    <row r="49" spans="1:21" x14ac:dyDescent="0.3">
      <c r="A49" s="80"/>
      <c r="B49" s="70"/>
      <c r="C49" s="69"/>
      <c r="D49" s="70"/>
      <c r="E49" s="69"/>
      <c r="F49" s="81"/>
      <c r="G49" s="82"/>
      <c r="H49" s="91"/>
      <c r="I49" s="91"/>
      <c r="J49" s="91"/>
      <c r="K49" s="81"/>
      <c r="L49" s="81"/>
      <c r="M49" s="81"/>
      <c r="N49" s="81"/>
      <c r="O49" s="81"/>
      <c r="P49" s="81"/>
      <c r="Q49" s="83"/>
      <c r="R49" s="101"/>
      <c r="S49" s="83"/>
      <c r="T49" s="91"/>
      <c r="U49" s="92"/>
    </row>
    <row r="50" spans="1:21" x14ac:dyDescent="0.3">
      <c r="A50" s="80"/>
      <c r="B50" s="70"/>
      <c r="C50" s="69"/>
      <c r="D50" s="70"/>
      <c r="E50" s="69"/>
      <c r="F50" s="90"/>
      <c r="G50" s="81"/>
      <c r="H50" s="91"/>
      <c r="I50" s="91"/>
      <c r="J50" s="91"/>
      <c r="K50" s="81"/>
      <c r="L50" s="81"/>
      <c r="M50" s="81"/>
      <c r="N50" s="81"/>
      <c r="O50" s="81"/>
      <c r="P50" s="81"/>
      <c r="Q50" s="83"/>
      <c r="R50" s="101"/>
      <c r="S50" s="83"/>
      <c r="T50" s="91"/>
      <c r="U50" s="92"/>
    </row>
    <row r="51" spans="1:21" x14ac:dyDescent="0.3">
      <c r="A51" s="80"/>
      <c r="B51" s="70"/>
      <c r="C51" s="69"/>
      <c r="D51" s="70"/>
      <c r="E51" s="69"/>
      <c r="F51" s="90"/>
      <c r="G51" s="81"/>
      <c r="H51" s="91"/>
      <c r="I51" s="91"/>
      <c r="J51" s="91"/>
      <c r="K51" s="81"/>
      <c r="L51" s="81"/>
      <c r="M51" s="81"/>
      <c r="N51" s="81"/>
      <c r="O51" s="81"/>
      <c r="P51" s="81"/>
      <c r="Q51" s="83"/>
      <c r="R51" s="101"/>
      <c r="S51" s="83"/>
      <c r="T51" s="91"/>
      <c r="U51" s="92"/>
    </row>
    <row r="52" spans="1:21" x14ac:dyDescent="0.3">
      <c r="A52" s="80"/>
      <c r="B52" s="70"/>
      <c r="C52" s="69"/>
      <c r="D52" s="70"/>
      <c r="E52" s="69"/>
      <c r="F52" s="81"/>
      <c r="G52" s="81"/>
      <c r="H52" s="91"/>
      <c r="I52" s="91"/>
      <c r="J52" s="91"/>
      <c r="K52" s="81"/>
      <c r="L52" s="81"/>
      <c r="M52" s="81"/>
      <c r="N52" s="81"/>
      <c r="O52" s="81"/>
      <c r="P52" s="81"/>
      <c r="Q52" s="83"/>
      <c r="R52" s="101"/>
      <c r="S52" s="83"/>
      <c r="T52" s="91"/>
      <c r="U52" s="92"/>
    </row>
    <row r="53" spans="1:21" x14ac:dyDescent="0.3">
      <c r="A53" s="80"/>
      <c r="B53" s="70"/>
      <c r="C53" s="69"/>
      <c r="D53" s="70"/>
      <c r="E53" s="69"/>
      <c r="F53" s="81"/>
      <c r="G53" s="81"/>
      <c r="H53" s="91"/>
      <c r="I53" s="91"/>
      <c r="J53" s="91"/>
      <c r="K53" s="81"/>
      <c r="L53" s="81"/>
      <c r="M53" s="81"/>
      <c r="N53" s="81"/>
      <c r="O53" s="81"/>
      <c r="P53" s="81"/>
      <c r="Q53" s="83"/>
      <c r="R53" s="101"/>
      <c r="S53" s="83"/>
      <c r="T53" s="91"/>
      <c r="U53" s="92"/>
    </row>
    <row r="54" spans="1:21" x14ac:dyDescent="0.3">
      <c r="A54" s="94"/>
      <c r="B54" s="75"/>
      <c r="C54" s="71"/>
      <c r="D54" s="95"/>
      <c r="E54" s="96"/>
      <c r="F54" s="74"/>
      <c r="G54" s="73"/>
      <c r="H54" s="97"/>
      <c r="I54" s="97"/>
      <c r="J54" s="97"/>
      <c r="K54" s="72"/>
      <c r="L54" s="72"/>
      <c r="M54" s="72"/>
      <c r="N54" s="72"/>
      <c r="O54" s="72"/>
      <c r="P54" s="72"/>
      <c r="Q54" s="72"/>
      <c r="R54" s="72"/>
      <c r="S54" s="72"/>
      <c r="T54" s="97"/>
      <c r="U54" s="98"/>
    </row>
  </sheetData>
  <mergeCells count="3">
    <mergeCell ref="A1:I1"/>
    <mergeCell ref="J1:U2"/>
    <mergeCell ref="A2:E2"/>
  </mergeCells>
  <pageMargins left="0.7" right="0.7" top="0.78740157499999996" bottom="0.78740157499999996"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2"/>
  <sheetViews>
    <sheetView zoomScale="70" zoomScaleNormal="70" workbookViewId="0">
      <selection activeCell="J43" sqref="J43"/>
    </sheetView>
  </sheetViews>
  <sheetFormatPr defaultColWidth="9.28515625" defaultRowHeight="15" x14ac:dyDescent="0.25"/>
  <cols>
    <col min="1" max="1" width="22.5703125" customWidth="1"/>
    <col min="2" max="2" width="27.5703125" customWidth="1"/>
    <col min="3" max="3" width="39.28515625" customWidth="1"/>
    <col min="4" max="4" width="55.5703125" customWidth="1"/>
  </cols>
  <sheetData>
    <row r="1" spans="1:4" x14ac:dyDescent="0.25">
      <c r="A1" s="287" t="s">
        <v>148</v>
      </c>
      <c r="B1" s="300" t="s">
        <v>113</v>
      </c>
      <c r="C1" s="294" t="s">
        <v>114</v>
      </c>
      <c r="D1" s="49" t="s">
        <v>114</v>
      </c>
    </row>
    <row r="2" spans="1:4" x14ac:dyDescent="0.25">
      <c r="A2" s="296"/>
      <c r="B2" s="301"/>
      <c r="C2" s="302"/>
      <c r="D2" s="37" t="s">
        <v>118</v>
      </c>
    </row>
    <row r="3" spans="1:4" x14ac:dyDescent="0.25">
      <c r="A3" s="287" t="s">
        <v>151</v>
      </c>
      <c r="B3" s="300" t="s">
        <v>113</v>
      </c>
      <c r="C3" s="294" t="s">
        <v>120</v>
      </c>
      <c r="D3" s="48" t="s">
        <v>121</v>
      </c>
    </row>
    <row r="4" spans="1:4" x14ac:dyDescent="0.25">
      <c r="A4" s="288"/>
      <c r="B4" s="290"/>
      <c r="C4" s="295"/>
      <c r="D4" s="36" t="s">
        <v>122</v>
      </c>
    </row>
    <row r="5" spans="1:4" x14ac:dyDescent="0.25">
      <c r="A5" s="287" t="s">
        <v>155</v>
      </c>
      <c r="B5" s="303" t="s">
        <v>113</v>
      </c>
      <c r="C5" s="294" t="s">
        <v>125</v>
      </c>
      <c r="D5" s="52" t="s">
        <v>125</v>
      </c>
    </row>
    <row r="6" spans="1:4" x14ac:dyDescent="0.25">
      <c r="A6" s="288"/>
      <c r="B6" s="304"/>
      <c r="C6" s="295"/>
      <c r="D6" s="37" t="s">
        <v>122</v>
      </c>
    </row>
    <row r="7" spans="1:4" x14ac:dyDescent="0.25">
      <c r="A7" s="296"/>
      <c r="B7" s="304"/>
      <c r="C7" s="302"/>
      <c r="D7" s="37" t="s">
        <v>129</v>
      </c>
    </row>
    <row r="8" spans="1:4" x14ac:dyDescent="0.25">
      <c r="A8" s="287" t="s">
        <v>157</v>
      </c>
      <c r="B8" s="300" t="s">
        <v>113</v>
      </c>
      <c r="C8" s="294" t="s">
        <v>126</v>
      </c>
      <c r="D8" s="52" t="s">
        <v>126</v>
      </c>
    </row>
    <row r="9" spans="1:4" x14ac:dyDescent="0.25">
      <c r="A9" s="288"/>
      <c r="B9" s="290"/>
      <c r="C9" s="295"/>
      <c r="D9" s="38" t="s">
        <v>122</v>
      </c>
    </row>
    <row r="10" spans="1:4" x14ac:dyDescent="0.25">
      <c r="A10" s="287" t="s">
        <v>159</v>
      </c>
      <c r="B10" s="297" t="s">
        <v>113</v>
      </c>
      <c r="C10" s="298" t="s">
        <v>133</v>
      </c>
      <c r="D10" s="53" t="s">
        <v>133</v>
      </c>
    </row>
    <row r="11" spans="1:4" x14ac:dyDescent="0.25">
      <c r="A11" s="296"/>
      <c r="B11" s="290"/>
      <c r="C11" s="299"/>
      <c r="D11" s="39" t="s">
        <v>127</v>
      </c>
    </row>
    <row r="12" spans="1:4" x14ac:dyDescent="0.25">
      <c r="A12" s="287" t="s">
        <v>161</v>
      </c>
      <c r="B12" s="289" t="s">
        <v>113</v>
      </c>
      <c r="C12" s="294" t="s">
        <v>136</v>
      </c>
      <c r="D12" s="50" t="s">
        <v>136</v>
      </c>
    </row>
    <row r="13" spans="1:4" x14ac:dyDescent="0.25">
      <c r="A13" s="288"/>
      <c r="B13" s="290"/>
      <c r="C13" s="295"/>
      <c r="D13" s="51" t="s">
        <v>117</v>
      </c>
    </row>
    <row r="14" spans="1:4" x14ac:dyDescent="0.25">
      <c r="A14" s="288"/>
      <c r="B14" s="290"/>
      <c r="C14" s="295"/>
      <c r="D14" s="40" t="s">
        <v>122</v>
      </c>
    </row>
    <row r="15" spans="1:4" x14ac:dyDescent="0.25">
      <c r="A15" s="287" t="s">
        <v>163</v>
      </c>
      <c r="B15" s="289" t="s">
        <v>113</v>
      </c>
      <c r="C15" s="291" t="s">
        <v>138</v>
      </c>
      <c r="D15" s="52" t="s">
        <v>138</v>
      </c>
    </row>
    <row r="16" spans="1:4" x14ac:dyDescent="0.25">
      <c r="A16" s="288"/>
      <c r="B16" s="290"/>
      <c r="C16" s="293"/>
      <c r="D16" s="37" t="s">
        <v>139</v>
      </c>
    </row>
    <row r="17" spans="1:4" x14ac:dyDescent="0.25">
      <c r="A17" s="287" t="s">
        <v>165</v>
      </c>
      <c r="B17" s="289" t="s">
        <v>113</v>
      </c>
      <c r="C17" s="291" t="s">
        <v>141</v>
      </c>
      <c r="D17" s="53" t="s">
        <v>141</v>
      </c>
    </row>
    <row r="18" spans="1:4" x14ac:dyDescent="0.25">
      <c r="A18" s="288"/>
      <c r="B18" s="290"/>
      <c r="C18" s="292"/>
      <c r="D18" s="40" t="s">
        <v>139</v>
      </c>
    </row>
    <row r="19" spans="1:4" x14ac:dyDescent="0.25">
      <c r="A19" s="281" t="s">
        <v>167</v>
      </c>
      <c r="B19" s="33" t="s">
        <v>113</v>
      </c>
      <c r="C19" s="283" t="s">
        <v>144</v>
      </c>
      <c r="D19" s="34" t="s">
        <v>144</v>
      </c>
    </row>
    <row r="20" spans="1:4" x14ac:dyDescent="0.25">
      <c r="A20" s="282"/>
      <c r="B20" s="35"/>
      <c r="C20" s="284"/>
      <c r="D20" s="42" t="s">
        <v>145</v>
      </c>
    </row>
    <row r="21" spans="1:4" x14ac:dyDescent="0.25">
      <c r="A21" s="282"/>
      <c r="B21" s="35"/>
      <c r="C21" s="284"/>
      <c r="D21" s="41" t="s">
        <v>146</v>
      </c>
    </row>
    <row r="22" spans="1:4" x14ac:dyDescent="0.25">
      <c r="A22" s="285" t="s">
        <v>221</v>
      </c>
      <c r="B22" s="276" t="s">
        <v>100</v>
      </c>
      <c r="C22" s="274" t="s">
        <v>193</v>
      </c>
      <c r="D22" s="46" t="s">
        <v>193</v>
      </c>
    </row>
    <row r="23" spans="1:4" x14ac:dyDescent="0.25">
      <c r="A23" s="286"/>
      <c r="B23" s="277"/>
      <c r="C23" s="275"/>
      <c r="D23" s="45" t="s">
        <v>194</v>
      </c>
    </row>
    <row r="24" spans="1:4" x14ac:dyDescent="0.25">
      <c r="A24" s="278" t="s">
        <v>229</v>
      </c>
      <c r="B24" s="280" t="s">
        <v>100</v>
      </c>
      <c r="C24" s="272" t="s">
        <v>200</v>
      </c>
      <c r="D24" s="47" t="s">
        <v>200</v>
      </c>
    </row>
    <row r="25" spans="1:4" x14ac:dyDescent="0.25">
      <c r="A25" s="278"/>
      <c r="B25" s="280"/>
      <c r="C25" s="272"/>
      <c r="D25" s="44" t="s">
        <v>201</v>
      </c>
    </row>
    <row r="26" spans="1:4" x14ac:dyDescent="0.25">
      <c r="A26" s="278" t="s">
        <v>231</v>
      </c>
      <c r="B26" s="273" t="s">
        <v>100</v>
      </c>
      <c r="C26" s="272" t="s">
        <v>203</v>
      </c>
      <c r="D26" s="47" t="s">
        <v>203</v>
      </c>
    </row>
    <row r="27" spans="1:4" x14ac:dyDescent="0.25">
      <c r="A27" s="278"/>
      <c r="B27" s="273"/>
      <c r="C27" s="272"/>
      <c r="D27" s="44" t="s">
        <v>204</v>
      </c>
    </row>
    <row r="28" spans="1:4" x14ac:dyDescent="0.25">
      <c r="A28" s="278" t="s">
        <v>241</v>
      </c>
      <c r="B28" s="273" t="s">
        <v>100</v>
      </c>
      <c r="C28" s="272" t="s">
        <v>211</v>
      </c>
      <c r="D28" s="46" t="s">
        <v>211</v>
      </c>
    </row>
    <row r="29" spans="1:4" x14ac:dyDescent="0.25">
      <c r="A29" s="278"/>
      <c r="B29" s="273"/>
      <c r="C29" s="272"/>
      <c r="D29" s="43" t="s">
        <v>212</v>
      </c>
    </row>
    <row r="30" spans="1:4" x14ac:dyDescent="0.25">
      <c r="A30" s="278" t="s">
        <v>243</v>
      </c>
      <c r="B30" s="279" t="s">
        <v>100</v>
      </c>
      <c r="C30" s="272" t="s">
        <v>214</v>
      </c>
      <c r="D30" s="47" t="s">
        <v>214</v>
      </c>
    </row>
    <row r="31" spans="1:4" x14ac:dyDescent="0.25">
      <c r="A31" s="278"/>
      <c r="B31" s="279"/>
      <c r="C31" s="272"/>
      <c r="D31" s="43" t="s">
        <v>215</v>
      </c>
    </row>
    <row r="32" spans="1:4" x14ac:dyDescent="0.25">
      <c r="A32" s="278"/>
      <c r="B32" s="279"/>
      <c r="C32" s="272"/>
      <c r="D32" s="43" t="s">
        <v>216</v>
      </c>
    </row>
    <row r="33" spans="1:4" x14ac:dyDescent="0.25">
      <c r="A33" s="278"/>
      <c r="B33" s="279"/>
      <c r="C33" s="272"/>
      <c r="D33" s="43" t="s">
        <v>217</v>
      </c>
    </row>
    <row r="34" spans="1:4" x14ac:dyDescent="0.25">
      <c r="A34" s="274" t="s">
        <v>295</v>
      </c>
      <c r="B34" s="276" t="s">
        <v>98</v>
      </c>
      <c r="C34" s="274" t="s">
        <v>274</v>
      </c>
      <c r="D34" s="47" t="s">
        <v>274</v>
      </c>
    </row>
    <row r="35" spans="1:4" x14ac:dyDescent="0.25">
      <c r="A35" s="275"/>
      <c r="B35" s="277"/>
      <c r="C35" s="275"/>
      <c r="D35" s="45" t="s">
        <v>275</v>
      </c>
    </row>
    <row r="36" spans="1:4" x14ac:dyDescent="0.25">
      <c r="A36" s="272" t="s">
        <v>299</v>
      </c>
      <c r="B36" s="273" t="s">
        <v>98</v>
      </c>
      <c r="C36" s="272" t="s">
        <v>278</v>
      </c>
      <c r="D36" s="46" t="s">
        <v>278</v>
      </c>
    </row>
    <row r="37" spans="1:4" x14ac:dyDescent="0.25">
      <c r="A37" s="272"/>
      <c r="B37" s="273"/>
      <c r="C37" s="272"/>
      <c r="D37" s="43" t="s">
        <v>279</v>
      </c>
    </row>
    <row r="38" spans="1:4" x14ac:dyDescent="0.25">
      <c r="A38" s="269" t="s">
        <v>367</v>
      </c>
      <c r="B38" s="270" t="s">
        <v>97</v>
      </c>
      <c r="C38" s="271" t="s">
        <v>342</v>
      </c>
      <c r="D38" s="47" t="s">
        <v>342</v>
      </c>
    </row>
    <row r="39" spans="1:4" x14ac:dyDescent="0.25">
      <c r="A39" s="269"/>
      <c r="B39" s="270"/>
      <c r="C39" s="271"/>
      <c r="D39" s="47" t="s">
        <v>343</v>
      </c>
    </row>
    <row r="40" spans="1:4" x14ac:dyDescent="0.25">
      <c r="A40" s="269"/>
      <c r="B40" s="270"/>
      <c r="C40" s="271"/>
      <c r="D40" s="44" t="s">
        <v>139</v>
      </c>
    </row>
    <row r="41" spans="1:4" x14ac:dyDescent="0.25">
      <c r="A41" s="269"/>
      <c r="B41" s="270"/>
      <c r="C41" s="271"/>
      <c r="D41" s="47" t="s">
        <v>344</v>
      </c>
    </row>
    <row r="42" spans="1:4" x14ac:dyDescent="0.25">
      <c r="A42" s="269"/>
      <c r="B42" s="270"/>
      <c r="C42" s="271"/>
      <c r="D42" s="44" t="s">
        <v>142</v>
      </c>
    </row>
  </sheetData>
  <mergeCells count="50">
    <mergeCell ref="A1:A2"/>
    <mergeCell ref="B1:B2"/>
    <mergeCell ref="C1:C2"/>
    <mergeCell ref="A5:A7"/>
    <mergeCell ref="B5:B7"/>
    <mergeCell ref="C5:C7"/>
    <mergeCell ref="A3:A4"/>
    <mergeCell ref="B3:B4"/>
    <mergeCell ref="C3:C4"/>
    <mergeCell ref="A10:A11"/>
    <mergeCell ref="B10:B11"/>
    <mergeCell ref="C10:C11"/>
    <mergeCell ref="A8:A9"/>
    <mergeCell ref="B8:B9"/>
    <mergeCell ref="C8:C9"/>
    <mergeCell ref="A15:A16"/>
    <mergeCell ref="B15:B16"/>
    <mergeCell ref="C15:C16"/>
    <mergeCell ref="A12:A14"/>
    <mergeCell ref="B12:B14"/>
    <mergeCell ref="C12:C14"/>
    <mergeCell ref="A19:A21"/>
    <mergeCell ref="C19:C21"/>
    <mergeCell ref="A22:A23"/>
    <mergeCell ref="B22:B23"/>
    <mergeCell ref="A17:A18"/>
    <mergeCell ref="B17:B18"/>
    <mergeCell ref="C17:C18"/>
    <mergeCell ref="C22:C23"/>
    <mergeCell ref="A24:A25"/>
    <mergeCell ref="B24:B25"/>
    <mergeCell ref="C24:C25"/>
    <mergeCell ref="A26:A27"/>
    <mergeCell ref="B26:B27"/>
    <mergeCell ref="C26:C27"/>
    <mergeCell ref="A34:A35"/>
    <mergeCell ref="B34:B35"/>
    <mergeCell ref="C34:C35"/>
    <mergeCell ref="A28:A29"/>
    <mergeCell ref="B28:B29"/>
    <mergeCell ref="C28:C29"/>
    <mergeCell ref="A30:A33"/>
    <mergeCell ref="B30:B33"/>
    <mergeCell ref="C30:C33"/>
    <mergeCell ref="A38:A42"/>
    <mergeCell ref="B38:B42"/>
    <mergeCell ref="C38:C42"/>
    <mergeCell ref="A36:A37"/>
    <mergeCell ref="B36:B37"/>
    <mergeCell ref="C36:C37"/>
  </mergeCells>
  <pageMargins left="0.7" right="0.7" top="0.75" bottom="0.75" header="0.3" footer="0.3"/>
</worksheet>
</file>

<file path=docMetadata/LabelInfo.xml><?xml version="1.0" encoding="utf-8"?>
<clbl:labelList xmlns:clbl="http://schemas.microsoft.com/office/2020/mipLabelMetadata">
  <clbl:label id="{47dea8b7-9eaa-40b7-9fe0-5c9e237036c0}"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Änderungshistorie</vt:lpstr>
      <vt:lpstr>Teststrategie</vt:lpstr>
      <vt:lpstr>MetaData</vt:lpstr>
      <vt:lpstr>Homepage</vt:lpstr>
      <vt:lpstr>Editorial Overview Page</vt:lpstr>
      <vt:lpstr>Showroom Page</vt:lpstr>
      <vt:lpstr>Editorial Page</vt:lpstr>
      <vt:lpstr>Model Overview Page</vt:lpstr>
      <vt:lpstr>Feature App Page</vt:lpstr>
      <vt:lpstr>DAM</vt:lpstr>
      <vt:lpstr>Error Page</vt:lpstr>
      <vt:lpstr>XFs</vt:lpstr>
      <vt:lpstr>TO SIT</vt:lpstr>
      <vt:lpstr>Archive</vt:lpstr>
      <vt:lpstr>Template</vt:lpstr>
      <vt:lpstr>Not relevant for testing</vt:lpstr>
    </vt:vector>
  </TitlesOfParts>
  <Manager/>
  <Company>VOLKSWAGEN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Pacori Chambi, William Frank (EXTERN: Capgemini)</dc:creator>
  <cp:keywords/>
  <dc:description/>
  <cp:lastModifiedBy>Raut, Chetan Devanand</cp:lastModifiedBy>
  <cp:revision/>
  <dcterms:created xsi:type="dcterms:W3CDTF">2019-02-14T11:40:03Z</dcterms:created>
  <dcterms:modified xsi:type="dcterms:W3CDTF">2026-07-06T14:20:55Z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3a76b063-980c-4475-a764-a89289555bba</vt:lpwstr>
  </property>
</Properties>
</file>